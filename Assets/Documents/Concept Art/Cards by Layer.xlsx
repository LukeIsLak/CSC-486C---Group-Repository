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1D08244B-30B6-4F20-9F92-2F74F44EBF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V28" i="15"/>
  <c r="V27" i="15"/>
  <c r="O29" i="15"/>
  <c r="P28" i="15"/>
  <c r="P27" i="15"/>
  <c r="I29" i="15"/>
  <c r="J28" i="15"/>
  <c r="J27" i="15"/>
  <c r="C29" i="15"/>
  <c r="C28" i="15"/>
  <c r="D27" i="15"/>
  <c r="U23" i="15"/>
  <c r="V22" i="15"/>
  <c r="V21" i="15"/>
  <c r="O23" i="15"/>
  <c r="P22" i="15"/>
  <c r="P21" i="15"/>
  <c r="I23" i="15"/>
  <c r="J22" i="15"/>
  <c r="J21" i="15"/>
  <c r="C23" i="15"/>
  <c r="C22" i="15"/>
  <c r="D21" i="15"/>
  <c r="U17" i="15"/>
  <c r="V16" i="15"/>
  <c r="V15" i="15"/>
  <c r="O17" i="15"/>
  <c r="P16" i="15"/>
  <c r="P15" i="15"/>
  <c r="I17" i="15"/>
  <c r="J16" i="15"/>
  <c r="J15" i="15"/>
  <c r="C17" i="15"/>
  <c r="C16" i="15"/>
  <c r="D15" i="15"/>
  <c r="U11" i="15"/>
  <c r="V10" i="15"/>
  <c r="V9" i="15"/>
  <c r="O11" i="15"/>
  <c r="P10" i="15"/>
  <c r="P9" i="15"/>
  <c r="J10" i="15"/>
  <c r="I11" i="15"/>
  <c r="J9" i="15"/>
  <c r="C11" i="15"/>
  <c r="C10" i="15"/>
  <c r="V4" i="15"/>
  <c r="P4" i="15"/>
  <c r="J4" i="15"/>
  <c r="D9" i="15"/>
  <c r="C4" i="15"/>
  <c r="U5" i="15"/>
  <c r="O5" i="15"/>
  <c r="V3" i="15"/>
  <c r="P3" i="15"/>
  <c r="I5" i="15"/>
  <c r="J3" i="15"/>
  <c r="C5" i="15"/>
  <c r="D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<sst xmlns="http://schemas.openxmlformats.org/spreadsheetml/2006/main" count="78" uniqueCount="50">
  <si>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</si>
  <si>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</si>
  <si>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</si>
  <si>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</si>
  <si>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</si>
  <si>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</si>
  <si>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</si>
  <si>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</si>
  <si>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</si>
  <si>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</si>
  <si>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</si>
  <si>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</si>
  <si>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</si>
  <si>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</si>
  <si>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</si>
  <si>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</si>
  <si>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</si>
  <si>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</si>
  <si>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</si>
  <si>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Elements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</si>
  <si>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</si>
  <si>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</si>
  <si>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</si>
  <si>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</si>
  <si>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</si>
  <si>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</si>
  <si>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</si>
  <si>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</si>
  <si>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</si>
  <si>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</si>
  <si>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</si>
  <si>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</si>
  <si>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</si>
  <si>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</si>
  <si>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Haste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</si>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</sst>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</fonts>
  <fills count="18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2" borderId="5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0" fillId="4" borderId="0" xfId="0" applyFill="1"/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0" borderId="10" xfId="0" applyBorder="1" applyAlignment="1">
      <alignment horizontal="right" vertical="center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0" fillId="10" borderId="0" xfId="0" applyFill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0" fillId="3" borderId="0" xfId="0" applyFill="1"/>
    <xf numFmtId="0" fontId="6" fillId="3" borderId="5" xfId="0" applyFont="1" applyFill="1" applyBorder="1" applyAlignment="1">
      <alignment horizontal="center" vertical="top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0" fillId="10" borderId="0" xfId="0" applyFill="1" applyAlignment="1">
      <alignment horizontal="center" vertical="center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0" fillId="7" borderId="0" xfId="0" applyFill="1"/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0" fillId="8" borderId="0" xfId="0" applyFill="1"/>
    <xf numFmtId="0" fontId="6" fillId="8" borderId="5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2" borderId="1" xfId="0" applyFill="1" applyBorder="1"/>
    <xf numFmtId="0" fontId="0" fillId="12" borderId="2" xfId="0" applyFill="1" applyBorder="1"/>
    <xf numFmtId="0" fontId="6" fillId="12" borderId="3" xfId="0" applyFont="1" applyFill="1" applyBorder="1" applyAlignment="1">
      <alignment horizontal="center" vertical="top"/>
    </xf>
    <xf numFmtId="0" fontId="0" fillId="12" borderId="4" xfId="0" applyFill="1" applyBorder="1" applyAlignment="1">
      <alignment vertical="center"/>
    </xf>
    <xf numFmtId="0" fontId="6" fillId="12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/>
    </xf>
    <xf numFmtId="0" fontId="0" fillId="12" borderId="4" xfId="0" applyFill="1" applyBorder="1"/>
    <xf numFmtId="0" fontId="0" fillId="12" borderId="0" xfId="0" applyFill="1" applyAlignment="1">
      <alignment horizontal="center" vertical="center"/>
    </xf>
    <xf numFmtId="0" fontId="6" fillId="12" borderId="5" xfId="0" applyFont="1" applyFill="1" applyBorder="1" applyAlignment="1">
      <alignment horizontal="center" vertical="top"/>
    </xf>
    <xf numFmtId="0" fontId="8" fillId="12" borderId="5" xfId="0" applyFont="1" applyFill="1" applyBorder="1" applyAlignment="1">
      <alignment horizontal="center" vertical="center" wrapText="1"/>
    </xf>
    <xf numFmtId="0" fontId="0" fillId="12" borderId="6" xfId="0" applyFill="1" applyBorder="1"/>
    <xf numFmtId="0" fontId="0" fillId="12" borderId="7" xfId="0" applyFill="1" applyBorder="1"/>
    <xf numFmtId="0" fontId="6" fillId="12" borderId="8" xfId="0" applyFont="1" applyFill="1" applyBorder="1" applyAlignment="1">
      <alignment horizontal="center" vertical="top"/>
    </xf>
    <xf numFmtId="0" fontId="0" fillId="12" borderId="0" xfId="0" applyFill="1"/>
    <xf numFmtId="0" fontId="0" fillId="13" borderId="1" xfId="0" applyFill="1" applyBorder="1"/>
    <xf numFmtId="0" fontId="0" fillId="13" borderId="2" xfId="0" applyFill="1" applyBorder="1"/>
    <xf numFmtId="0" fontId="6" fillId="13" borderId="3" xfId="0" applyFont="1" applyFill="1" applyBorder="1" applyAlignment="1">
      <alignment horizontal="center" vertical="top"/>
    </xf>
    <xf numFmtId="0" fontId="0" fillId="13" borderId="4" xfId="0" applyFill="1" applyBorder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/>
    </xf>
    <xf numFmtId="0" fontId="0" fillId="13" borderId="4" xfId="0" applyFill="1" applyBorder="1"/>
    <xf numFmtId="0" fontId="0" fillId="13" borderId="0" xfId="0" applyFill="1"/>
    <xf numFmtId="0" fontId="0" fillId="13" borderId="0" xfId="0" applyFill="1" applyAlignment="1">
      <alignment horizontal="center" vertical="center"/>
    </xf>
    <xf numFmtId="0" fontId="6" fillId="13" borderId="5" xfId="0" applyFont="1" applyFill="1" applyBorder="1" applyAlignment="1">
      <alignment horizontal="center" vertical="top"/>
    </xf>
    <xf numFmtId="0" fontId="9" fillId="13" borderId="0" xfId="0" applyFont="1" applyFill="1" applyAlignment="1">
      <alignment horizontal="center" vertical="center" wrapText="1"/>
    </xf>
    <xf numFmtId="0" fontId="8" fillId="13" borderId="5" xfId="0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13" borderId="7" xfId="0" applyFill="1" applyBorder="1"/>
    <xf numFmtId="0" fontId="6" fillId="13" borderId="8" xfId="0" applyFont="1" applyFill="1" applyBorder="1" applyAlignment="1">
      <alignment horizontal="center" vertical="top"/>
    </xf>
    <xf numFmtId="0" fontId="7" fillId="13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9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9" fillId="1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14" borderId="4" xfId="0" applyFill="1" applyBorder="1"/>
    <xf numFmtId="0" fontId="0" fillId="15" borderId="0" xfId="0" applyFill="1"/>
    <xf numFmtId="0" fontId="6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top"/>
    </xf>
    <xf numFmtId="0" fontId="9" fillId="6" borderId="0" xfId="0" applyFont="1" applyFill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6" fillId="6" borderId="8" xfId="0" applyFont="1" applyFill="1" applyBorder="1" applyAlignment="1">
      <alignment horizontal="center" vertical="top"/>
    </xf>
    <xf numFmtId="0" fontId="0" fillId="6" borderId="0" xfId="0" applyFill="1"/>
    <xf numFmtId="0" fontId="6" fillId="16" borderId="5" xfId="0" applyFont="1" applyFill="1" applyBorder="1" applyAlignment="1">
      <alignment horizontal="center" vertical="top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37343E"/>
      <color rgb="FFFFE699"/>
      <color rgb="FFA9D08E"/>
      <color rgb="FF8EA9DB"/>
      <color rgb="FFDBCABD"/>
      <color rgb="FFDDEBF7"/>
      <color rgb="FFFFFFCC"/>
      <color rgb="FFFF7373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Relationship Id="rId9" Type="http://schemas.openxmlformats.org/officeDocument/2006/relationships/image" Target="../media/image19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7.emf"/><Relationship Id="rId3" Type="http://schemas.openxmlformats.org/officeDocument/2006/relationships/image" Target="../media/image22.emf"/><Relationship Id="rId7" Type="http://schemas.openxmlformats.org/officeDocument/2006/relationships/image" Target="../media/image26.emf"/><Relationship Id="rId2" Type="http://schemas.openxmlformats.org/officeDocument/2006/relationships/image" Target="../media/image21.emf"/><Relationship Id="rId1" Type="http://schemas.openxmlformats.org/officeDocument/2006/relationships/image" Target="../media/image20.emf"/><Relationship Id="rId6" Type="http://schemas.openxmlformats.org/officeDocument/2006/relationships/image" Target="../media/image25.emf"/><Relationship Id="rId5" Type="http://schemas.openxmlformats.org/officeDocument/2006/relationships/image" Target="../media/image24.emf"/><Relationship Id="rId4" Type="http://schemas.openxmlformats.org/officeDocument/2006/relationships/image" Target="../media/image2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F58A048E-48E3-4575-9502-E43C312969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59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60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60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K$1" spid="_x0000_s6608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K$1" spid="_x0000_s660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L$1" spid="_x0000_s661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I$1" spid="_x0000_s661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61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661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661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N$1" spid="_x0000_s661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BA8E094-C52D-47B7-96D4-54C50C0E6678}"/>
            </a:ext>
          </a:extLst>
        </xdr:cNvPr>
        <xdr:cNvSpPr/>
      </xdr:nvSpPr>
      <xdr:spPr>
        <a:xfrm>
          <a:off x="8139546" y="381000"/>
          <a:ext cx="1080000" cy="1080000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G13" sqref="G13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78"/>
      <c r="C2" s="79"/>
      <c r="D2" s="79"/>
      <c r="E2" s="79"/>
      <c r="F2" s="80"/>
      <c r="H2" s="91"/>
      <c r="I2" s="92"/>
      <c r="J2" s="92"/>
      <c r="K2" s="92"/>
      <c r="L2" s="93"/>
      <c r="N2" s="16"/>
      <c r="O2" s="17"/>
      <c r="P2" s="17"/>
      <c r="Q2" s="17"/>
      <c r="R2" s="104"/>
      <c r="T2" s="23"/>
      <c r="U2" s="24"/>
      <c r="V2" s="24"/>
      <c r="W2" s="24"/>
      <c r="X2" s="67"/>
    </row>
    <row r="3" spans="2:24" s="58" customFormat="1" ht="72" customHeight="1" x14ac:dyDescent="0.25">
      <c r="B3" s="81"/>
      <c r="C3" s="82"/>
      <c r="D3" s="82" t="str">
        <f>Src!$A5</f>
        <v>FIREBALL</v>
      </c>
      <c r="E3" s="82"/>
      <c r="F3" s="83"/>
      <c r="H3" s="94"/>
      <c r="I3" s="95"/>
      <c r="J3" s="134" t="str">
        <f>Src!A6</f>
        <v>FROST NOVA</v>
      </c>
      <c r="K3" s="95"/>
      <c r="L3" s="96"/>
      <c r="N3" s="105"/>
      <c r="O3" s="106"/>
      <c r="P3" s="107" t="str">
        <f>Src!A7</f>
        <v>TIDAL WAVE</v>
      </c>
      <c r="Q3" s="106"/>
      <c r="R3" s="108"/>
      <c r="T3" s="68"/>
      <c r="U3" s="69"/>
      <c r="V3" s="76" t="str">
        <f>Src!A8</f>
        <v>BRAMBLE SNARE</v>
      </c>
      <c r="W3" s="69"/>
      <c r="X3" s="70"/>
    </row>
    <row r="4" spans="2:24" ht="184.5" customHeight="1" x14ac:dyDescent="0.25">
      <c r="B4" s="84"/>
      <c r="C4" s="170" t="e" vm="1">
        <f>Src!F5</f>
        <v>#VALUE!</v>
      </c>
      <c r="D4" s="170"/>
      <c r="E4" s="170"/>
      <c r="F4" s="85"/>
      <c r="H4" s="97"/>
      <c r="I4" s="98"/>
      <c r="J4" s="114">
        <f>Src!F6</f>
        <v>0</v>
      </c>
      <c r="K4" s="98"/>
      <c r="L4" s="99"/>
      <c r="N4" s="246"/>
      <c r="O4" s="109"/>
      <c r="P4" s="65">
        <f>Src!F7</f>
        <v>0</v>
      </c>
      <c r="Q4" s="109"/>
      <c r="R4" s="110"/>
      <c r="T4" s="26"/>
      <c r="U4" s="247"/>
      <c r="V4" s="64">
        <f xml:space="preserve"> Src!F8</f>
        <v>0</v>
      </c>
      <c r="W4" s="71"/>
      <c r="X4" s="72"/>
    </row>
    <row r="5" spans="2:24" ht="93" customHeight="1" x14ac:dyDescent="0.25">
      <c r="B5" s="84"/>
      <c r="C5" s="171" t="str">
        <f>Src!$C5</f>
        <v>Deals damage on contact. Explodes against surfaces</v>
      </c>
      <c r="D5" s="171"/>
      <c r="E5" s="171"/>
      <c r="F5" s="86"/>
      <c r="H5" s="97"/>
      <c r="I5" s="172" t="str">
        <f>Src!$C6</f>
        <v>Explodes on contact and freezes enemies. Frozen enemies take 1.5x damage</v>
      </c>
      <c r="J5" s="172"/>
      <c r="K5" s="172"/>
      <c r="L5" s="100"/>
      <c r="N5" s="19"/>
      <c r="O5" s="173" t="str">
        <f>Src!C7</f>
        <v>Summons a wave that pushes back all enemies it hits, accumulating damage</v>
      </c>
      <c r="P5" s="173"/>
      <c r="Q5" s="173"/>
      <c r="R5" s="111"/>
      <c r="T5" s="26"/>
      <c r="U5" s="174" t="str">
        <f>Src!C8</f>
        <v>Creates a trap area that slows + damages enemies as they move through it</v>
      </c>
      <c r="V5" s="174"/>
      <c r="W5" s="174"/>
      <c r="X5" s="73"/>
    </row>
    <row r="6" spans="2:24" ht="30" customHeight="1" thickBot="1" x14ac:dyDescent="0.3">
      <c r="B6" s="87"/>
      <c r="C6" s="88"/>
      <c r="D6" s="88"/>
      <c r="E6" s="88"/>
      <c r="F6" s="89"/>
      <c r="H6" s="101"/>
      <c r="I6" s="102"/>
      <c r="J6" s="102"/>
      <c r="K6" s="102"/>
      <c r="L6" s="103"/>
      <c r="N6" s="21"/>
      <c r="O6" s="112"/>
      <c r="P6" s="112"/>
      <c r="Q6" s="112"/>
      <c r="R6" s="113"/>
      <c r="T6" s="28"/>
      <c r="U6" s="74"/>
      <c r="V6" s="74"/>
      <c r="W6" s="74"/>
      <c r="X6" s="75"/>
    </row>
    <row r="7" spans="2:24" ht="30" customHeight="1" thickBot="1" x14ac:dyDescent="0.3"/>
    <row r="8" spans="2:24" ht="12.75" customHeight="1" x14ac:dyDescent="0.25">
      <c r="B8" s="37"/>
      <c r="C8" s="38"/>
      <c r="D8" s="38"/>
      <c r="E8" s="38"/>
      <c r="F8" s="248"/>
      <c r="H8" s="44"/>
      <c r="I8" s="45"/>
      <c r="J8" s="45"/>
      <c r="K8" s="45"/>
      <c r="L8" s="115"/>
      <c r="N8" s="51"/>
      <c r="O8" s="52"/>
      <c r="P8" s="52"/>
      <c r="Q8" s="52"/>
      <c r="R8" s="124"/>
      <c r="T8" s="37"/>
      <c r="U8" s="38"/>
      <c r="V8" s="38"/>
      <c r="W8" s="38"/>
      <c r="X8" s="248"/>
    </row>
    <row r="9" spans="2:24" s="58" customFormat="1" ht="72" customHeight="1" x14ac:dyDescent="0.25">
      <c r="B9" s="249"/>
      <c r="C9" s="250"/>
      <c r="D9" s="251" t="str">
        <f>Src!$A9</f>
        <v>LIGHTNING BOLT</v>
      </c>
      <c r="E9" s="250"/>
      <c r="F9" s="252"/>
      <c r="H9" s="116"/>
      <c r="I9" s="117"/>
      <c r="J9" s="135" t="str">
        <f>Src!A10</f>
        <v>BLACK HOLE</v>
      </c>
      <c r="K9" s="117"/>
      <c r="L9" s="118"/>
      <c r="N9" s="125"/>
      <c r="O9" s="126"/>
      <c r="P9" s="127" t="str">
        <f>Src!A11</f>
        <v>ASTRAL DAGGER</v>
      </c>
      <c r="Q9" s="126"/>
      <c r="R9" s="128"/>
      <c r="T9" s="249"/>
      <c r="U9" s="250"/>
      <c r="V9" s="251" t="str">
        <f>Src!A12</f>
        <v>CHAIN LIGHTNING</v>
      </c>
      <c r="W9" s="250"/>
      <c r="X9" s="252"/>
    </row>
    <row r="10" spans="2:24" ht="184.5" customHeight="1" x14ac:dyDescent="0.25">
      <c r="B10" s="40"/>
      <c r="C10" s="218">
        <f>Src!F9</f>
        <v>0</v>
      </c>
      <c r="D10" s="218"/>
      <c r="E10" s="218"/>
      <c r="F10" s="259"/>
      <c r="H10" s="47"/>
      <c r="I10" s="119"/>
      <c r="J10" s="63">
        <f>Src!F10</f>
        <v>0</v>
      </c>
      <c r="K10" s="119"/>
      <c r="L10" s="120"/>
      <c r="N10" s="54"/>
      <c r="O10" s="260"/>
      <c r="P10" s="62">
        <f>Src!F11</f>
        <v>0</v>
      </c>
      <c r="Q10" s="129"/>
      <c r="R10" s="130"/>
      <c r="T10" s="40"/>
      <c r="U10" s="258"/>
      <c r="V10" s="136">
        <f>Src!F12</f>
        <v>0</v>
      </c>
      <c r="W10" s="258"/>
      <c r="X10" s="253"/>
    </row>
    <row r="11" spans="2:24" ht="93" customHeight="1" x14ac:dyDescent="0.25">
      <c r="B11" s="40"/>
      <c r="C11" s="254" t="str">
        <f>Src!$C9</f>
        <v>Casts a bolt of lightning</v>
      </c>
      <c r="D11" s="254"/>
      <c r="E11" s="254"/>
      <c r="F11" s="255"/>
      <c r="H11" s="47"/>
      <c r="I11" s="175" t="str">
        <f>Src!$C10</f>
        <v>Vacuums in nearby enemies</v>
      </c>
      <c r="J11" s="175"/>
      <c r="K11" s="175"/>
      <c r="L11" s="121"/>
      <c r="N11" s="54"/>
      <c r="O11" s="176" t="str">
        <f>Src!C11</f>
        <v>Flies to the nearest enemy in vision</v>
      </c>
      <c r="P11" s="176"/>
      <c r="Q11" s="176"/>
      <c r="R11" s="131"/>
      <c r="T11" s="40"/>
      <c r="U11" s="254" t="str">
        <f>Src!C12</f>
        <v>Casts a tracking bolt of lightning that can chain to close enemies</v>
      </c>
      <c r="V11" s="254"/>
      <c r="W11" s="254"/>
      <c r="X11" s="255"/>
    </row>
    <row r="12" spans="2:24" ht="30" customHeight="1" thickBot="1" x14ac:dyDescent="0.3">
      <c r="B12" s="42"/>
      <c r="C12" s="256"/>
      <c r="D12" s="256"/>
      <c r="E12" s="256"/>
      <c r="F12" s="257"/>
      <c r="H12" s="49"/>
      <c r="I12" s="122"/>
      <c r="J12" s="122"/>
      <c r="K12" s="122"/>
      <c r="L12" s="123"/>
      <c r="N12" s="56"/>
      <c r="O12" s="132"/>
      <c r="P12" s="132"/>
      <c r="Q12" s="132"/>
      <c r="R12" s="133"/>
      <c r="T12" s="42"/>
      <c r="U12" s="256"/>
      <c r="V12" s="256"/>
      <c r="W12" s="256"/>
      <c r="X12" s="257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124"/>
      <c r="H14" s="152"/>
      <c r="I14" s="153"/>
      <c r="J14" s="153"/>
      <c r="K14" s="153"/>
      <c r="L14" s="154"/>
      <c r="N14" s="152"/>
      <c r="O14" s="153"/>
      <c r="P14" s="153"/>
      <c r="Q14" s="153"/>
      <c r="R14" s="154"/>
      <c r="T14" s="152"/>
      <c r="U14" s="153"/>
      <c r="V14" s="153"/>
      <c r="W14" s="153"/>
      <c r="X14" s="154"/>
    </row>
    <row r="15" spans="2:24" s="58" customFormat="1" ht="72" customHeight="1" x14ac:dyDescent="0.25">
      <c r="B15" s="125"/>
      <c r="C15" s="126"/>
      <c r="D15" s="127" t="str">
        <f>Src!$A13</f>
        <v>DIVINE JUDGEMENT</v>
      </c>
      <c r="E15" s="126"/>
      <c r="F15" s="128"/>
      <c r="H15" s="155"/>
      <c r="I15" s="156"/>
      <c r="J15" s="157" t="str">
        <f>Src!A14</f>
        <v>Haste</v>
      </c>
      <c r="K15" s="156"/>
      <c r="L15" s="158"/>
      <c r="N15" s="155"/>
      <c r="O15" s="156"/>
      <c r="P15" s="157" t="str">
        <f>Src!A15</f>
        <v>HINDER</v>
      </c>
      <c r="Q15" s="156"/>
      <c r="R15" s="158"/>
      <c r="T15" s="155"/>
      <c r="U15" s="156"/>
      <c r="V15" s="168" t="str">
        <f>Src!A16</f>
        <v>MULLIGAN</v>
      </c>
      <c r="W15" s="156"/>
      <c r="X15" s="158"/>
    </row>
    <row r="16" spans="2:24" ht="184.5" customHeight="1" x14ac:dyDescent="0.25">
      <c r="B16" s="54"/>
      <c r="C16" s="177">
        <f>Src!F13</f>
        <v>0</v>
      </c>
      <c r="D16" s="177"/>
      <c r="E16" s="177"/>
      <c r="F16" s="130"/>
      <c r="H16" s="159"/>
      <c r="I16" s="160"/>
      <c r="J16" s="161">
        <f>Src!F14</f>
        <v>0</v>
      </c>
      <c r="K16" s="160"/>
      <c r="L16" s="162"/>
      <c r="N16" s="159"/>
      <c r="O16" s="160"/>
      <c r="P16" s="161">
        <f>Src!F15</f>
        <v>0</v>
      </c>
      <c r="Q16" s="160"/>
      <c r="R16" s="162"/>
      <c r="T16" s="159"/>
      <c r="U16" s="160"/>
      <c r="V16" s="161">
        <f xml:space="preserve"> Src!F16</f>
        <v>0</v>
      </c>
      <c r="W16" s="160"/>
      <c r="X16" s="162"/>
    </row>
    <row r="17" spans="2:24" ht="93" customHeight="1" x14ac:dyDescent="0.25">
      <c r="B17" s="54"/>
      <c r="C17" s="176" t="str">
        <f>Src!$C13</f>
        <v>Creates an area on the ground that damages to enemies within it. Mark any enemy to deal damage to the enemy proportional to the time spent once finishes</v>
      </c>
      <c r="D17" s="176"/>
      <c r="E17" s="176"/>
      <c r="F17" s="131"/>
      <c r="H17" s="159"/>
      <c r="I17" s="178" t="str">
        <f>Src!$C14</f>
        <v>Increases player movement speed for a set duration</v>
      </c>
      <c r="J17" s="178"/>
      <c r="K17" s="178"/>
      <c r="L17" s="164"/>
      <c r="N17" s="159"/>
      <c r="O17" s="178" t="str">
        <f>Src!C15</f>
        <v>Enemies are temporarily slowed on hit for a set duration.</v>
      </c>
      <c r="P17" s="178"/>
      <c r="Q17" s="178"/>
      <c r="R17" s="164"/>
      <c r="T17" s="159"/>
      <c r="U17" s="178" t="str">
        <f>Src!C16</f>
        <v>Randomly swap two cards in the current hand with cards in the deck</v>
      </c>
      <c r="V17" s="178"/>
      <c r="W17" s="178"/>
      <c r="X17" s="164"/>
    </row>
    <row r="18" spans="2:24" ht="30" customHeight="1" thickBot="1" x14ac:dyDescent="0.3">
      <c r="B18" s="56"/>
      <c r="C18" s="132"/>
      <c r="D18" s="132"/>
      <c r="E18" s="132"/>
      <c r="F18" s="133"/>
      <c r="H18" s="165"/>
      <c r="I18" s="166"/>
      <c r="J18" s="166"/>
      <c r="K18" s="166"/>
      <c r="L18" s="167"/>
      <c r="N18" s="165"/>
      <c r="O18" s="166"/>
      <c r="P18" s="166"/>
      <c r="Q18" s="166"/>
      <c r="R18" s="167"/>
      <c r="T18" s="165"/>
      <c r="U18" s="166"/>
      <c r="V18" s="166"/>
      <c r="W18" s="166"/>
      <c r="X18" s="167"/>
    </row>
    <row r="19" spans="2:24" ht="30" customHeight="1" thickBot="1" x14ac:dyDescent="0.3"/>
    <row r="20" spans="2:24" ht="12.75" customHeight="1" x14ac:dyDescent="0.25">
      <c r="B20" s="152"/>
      <c r="C20" s="153"/>
      <c r="D20" s="153"/>
      <c r="E20" s="153"/>
      <c r="F20" s="154"/>
      <c r="H20" s="152"/>
      <c r="I20" s="153"/>
      <c r="J20" s="153"/>
      <c r="K20" s="153"/>
      <c r="L20" s="154"/>
      <c r="N20" s="152"/>
      <c r="O20" s="153"/>
      <c r="P20" s="153"/>
      <c r="Q20" s="153"/>
      <c r="R20" s="154"/>
      <c r="T20" s="152"/>
      <c r="U20" s="153"/>
      <c r="V20" s="153"/>
      <c r="W20" s="153"/>
      <c r="X20" s="154"/>
    </row>
    <row r="21" spans="2:24" s="58" customFormat="1" ht="72" customHeight="1" x14ac:dyDescent="0.25">
      <c r="B21" s="155"/>
      <c r="C21" s="156"/>
      <c r="D21" s="163" t="str">
        <f>Src!$A17</f>
        <v>BUT WAIT, THERE'S MORE</v>
      </c>
      <c r="E21" s="156"/>
      <c r="F21" s="158"/>
      <c r="H21" s="155"/>
      <c r="I21" s="156"/>
      <c r="J21" s="169" t="str">
        <f>Src!A18</f>
        <v>MANA SHIELD</v>
      </c>
      <c r="K21" s="156"/>
      <c r="L21" s="158"/>
      <c r="N21" s="155"/>
      <c r="O21" s="156"/>
      <c r="P21" s="169" t="str">
        <f>Src!A19</f>
        <v>RUNAWAY BULL</v>
      </c>
      <c r="Q21" s="156"/>
      <c r="R21" s="158"/>
      <c r="T21" s="155"/>
      <c r="U21" s="156"/>
      <c r="V21" s="169" t="str">
        <f>Src!A20</f>
        <v>HOLY BLADE</v>
      </c>
      <c r="W21" s="156"/>
      <c r="X21" s="158"/>
    </row>
    <row r="22" spans="2:24" ht="184.5" customHeight="1" x14ac:dyDescent="0.25">
      <c r="B22" s="159"/>
      <c r="C22" s="179">
        <f>Src!F17</f>
        <v>0</v>
      </c>
      <c r="D22" s="179"/>
      <c r="E22" s="179"/>
      <c r="F22" s="162"/>
      <c r="H22" s="159"/>
      <c r="I22" s="160"/>
      <c r="J22" s="161">
        <f>Src!F18</f>
        <v>0</v>
      </c>
      <c r="K22" s="160"/>
      <c r="L22" s="162"/>
      <c r="N22" s="159"/>
      <c r="O22" s="160"/>
      <c r="P22" s="161">
        <f>Src!F19</f>
        <v>0</v>
      </c>
      <c r="Q22" s="160"/>
      <c r="R22" s="162"/>
      <c r="T22" s="159"/>
      <c r="U22" s="160"/>
      <c r="V22" s="161">
        <f xml:space="preserve"> Src!F20</f>
        <v>0</v>
      </c>
      <c r="W22" s="160"/>
      <c r="X22" s="162"/>
    </row>
    <row r="23" spans="2:24" ht="93" customHeight="1" x14ac:dyDescent="0.25">
      <c r="B23" s="159"/>
      <c r="C23" s="178" t="str">
        <f>Src!$C17</f>
        <v>Randomly shuffle two cards from the discard pile back into the deck</v>
      </c>
      <c r="D23" s="178"/>
      <c r="E23" s="178"/>
      <c r="F23" s="164"/>
      <c r="H23" s="159"/>
      <c r="I23" s="178" t="str">
        <f>Src!$C18</f>
        <v>Negate x number of hits</v>
      </c>
      <c r="J23" s="178"/>
      <c r="K23" s="178"/>
      <c r="L23" s="164"/>
      <c r="N23" s="159"/>
      <c r="O23" s="178" t="str">
        <f>Src!C19</f>
        <v>For a temporary amount of time, causes the player's dashes to push enemies away slightly and inflict damage</v>
      </c>
      <c r="P23" s="178"/>
      <c r="Q23" s="178"/>
      <c r="R23" s="164"/>
      <c r="T23" s="159"/>
      <c r="U23" s="178" t="str">
        <f>Src!C20</f>
        <v>Increase damage of your weapon by x for a certain amount of time</v>
      </c>
      <c r="V23" s="178"/>
      <c r="W23" s="178"/>
      <c r="X23" s="164"/>
    </row>
    <row r="24" spans="2:24" ht="30" customHeight="1" thickBot="1" x14ac:dyDescent="0.3">
      <c r="B24" s="165"/>
      <c r="C24" s="166"/>
      <c r="D24" s="166"/>
      <c r="E24" s="166"/>
      <c r="F24" s="167"/>
      <c r="H24" s="165"/>
      <c r="I24" s="166"/>
      <c r="J24" s="166"/>
      <c r="K24" s="166"/>
      <c r="L24" s="167"/>
      <c r="N24" s="165"/>
      <c r="O24" s="166"/>
      <c r="P24" s="166"/>
      <c r="Q24" s="166"/>
      <c r="R24" s="167"/>
      <c r="T24" s="165"/>
      <c r="U24" s="166"/>
      <c r="V24" s="166"/>
      <c r="W24" s="166"/>
      <c r="X24" s="167"/>
    </row>
    <row r="25" spans="2:24" ht="30" customHeight="1" thickBot="1" x14ac:dyDescent="0.3"/>
    <row r="26" spans="2:24" ht="12.75" customHeight="1" x14ac:dyDescent="0.25">
      <c r="B26" s="137"/>
      <c r="C26" s="138"/>
      <c r="D26" s="138"/>
      <c r="E26" s="138"/>
      <c r="F26" s="139"/>
      <c r="H26" s="137"/>
      <c r="I26" s="138"/>
      <c r="J26" s="138"/>
      <c r="K26" s="138"/>
      <c r="L26" s="139"/>
      <c r="N26" s="137"/>
      <c r="O26" s="138"/>
      <c r="P26" s="138"/>
      <c r="Q26" s="138"/>
      <c r="R26" s="139"/>
      <c r="T26" s="137"/>
      <c r="U26" s="138"/>
      <c r="V26" s="138"/>
      <c r="W26" s="138"/>
      <c r="X26" s="139"/>
    </row>
    <row r="27" spans="2:24" s="58" customFormat="1" ht="72" customHeight="1" x14ac:dyDescent="0.25">
      <c r="B27" s="140"/>
      <c r="C27" s="141"/>
      <c r="D27" s="142">
        <f>Src!$A21</f>
        <v>0</v>
      </c>
      <c r="E27" s="141"/>
      <c r="F27" s="143"/>
      <c r="H27" s="140"/>
      <c r="I27" s="141"/>
      <c r="J27" s="142">
        <f>Src!A22</f>
        <v>0</v>
      </c>
      <c r="K27" s="141"/>
      <c r="L27" s="143"/>
      <c r="N27" s="140"/>
      <c r="O27" s="141"/>
      <c r="P27" s="142">
        <f>Src!A23</f>
        <v>0</v>
      </c>
      <c r="Q27" s="141"/>
      <c r="R27" s="143"/>
      <c r="T27" s="140"/>
      <c r="U27" s="141"/>
      <c r="V27" s="142">
        <f>Src!A24</f>
        <v>0</v>
      </c>
      <c r="W27" s="141"/>
      <c r="X27" s="143"/>
    </row>
    <row r="28" spans="2:24" ht="184.5" customHeight="1" x14ac:dyDescent="0.25">
      <c r="B28" s="144"/>
      <c r="C28" s="180">
        <f>Src!F21</f>
        <v>0</v>
      </c>
      <c r="D28" s="180"/>
      <c r="E28" s="180"/>
      <c r="F28" s="146"/>
      <c r="H28" s="144"/>
      <c r="I28" s="151"/>
      <c r="J28" s="145">
        <f>Src!F22</f>
        <v>0</v>
      </c>
      <c r="K28" s="151"/>
      <c r="L28" s="146"/>
      <c r="N28" s="144"/>
      <c r="O28" s="151"/>
      <c r="P28" s="145">
        <f>Src!F23</f>
        <v>0</v>
      </c>
      <c r="Q28" s="151"/>
      <c r="R28" s="146"/>
      <c r="T28" s="144"/>
      <c r="U28" s="151"/>
      <c r="V28" s="145">
        <f xml:space="preserve"> Src!F24</f>
        <v>0</v>
      </c>
      <c r="W28" s="151"/>
      <c r="X28" s="146"/>
    </row>
    <row r="29" spans="2:24" ht="93" customHeight="1" x14ac:dyDescent="0.25">
      <c r="B29" s="144"/>
      <c r="C29" s="181">
        <f>Src!$C21</f>
        <v>0</v>
      </c>
      <c r="D29" s="181"/>
      <c r="E29" s="181"/>
      <c r="F29" s="147"/>
      <c r="H29" s="144"/>
      <c r="I29" s="181">
        <f>Src!$C22</f>
        <v>0</v>
      </c>
      <c r="J29" s="181"/>
      <c r="K29" s="181"/>
      <c r="L29" s="147"/>
      <c r="N29" s="144"/>
      <c r="O29" s="181">
        <f>Src!C23</f>
        <v>0</v>
      </c>
      <c r="P29" s="181"/>
      <c r="Q29" s="181"/>
      <c r="R29" s="147"/>
      <c r="T29" s="144"/>
      <c r="U29" s="181">
        <f>Src!C24</f>
        <v>0</v>
      </c>
      <c r="V29" s="181"/>
      <c r="W29" s="181"/>
      <c r="X29" s="147"/>
    </row>
    <row r="30" spans="2:24" ht="30" customHeight="1" thickBot="1" x14ac:dyDescent="0.3">
      <c r="B30" s="148"/>
      <c r="C30" s="149"/>
      <c r="D30" s="149"/>
      <c r="E30" s="149"/>
      <c r="F30" s="150"/>
      <c r="H30" s="148"/>
      <c r="I30" s="149"/>
      <c r="J30" s="149"/>
      <c r="K30" s="149"/>
      <c r="L30" s="150"/>
      <c r="N30" s="148"/>
      <c r="O30" s="149"/>
      <c r="P30" s="149"/>
      <c r="Q30" s="149"/>
      <c r="R30" s="150"/>
      <c r="T30" s="148"/>
      <c r="U30" s="149"/>
      <c r="V30" s="149"/>
      <c r="W30" s="149"/>
      <c r="X30" s="150"/>
    </row>
  </sheetData>
  <mergeCells count="25">
    <mergeCell ref="C28:E28"/>
    <mergeCell ref="C29:E29"/>
    <mergeCell ref="I29:K29"/>
    <mergeCell ref="O29:Q29"/>
    <mergeCell ref="U29:W29"/>
    <mergeCell ref="C22:E22"/>
    <mergeCell ref="C23:E23"/>
    <mergeCell ref="I23:K23"/>
    <mergeCell ref="O23:Q23"/>
    <mergeCell ref="U23:W23"/>
    <mergeCell ref="C16:E16"/>
    <mergeCell ref="C17:E17"/>
    <mergeCell ref="I17:K17"/>
    <mergeCell ref="O17:Q17"/>
    <mergeCell ref="U17:W17"/>
    <mergeCell ref="C10:E10"/>
    <mergeCell ref="C11:E11"/>
    <mergeCell ref="I11:K11"/>
    <mergeCell ref="O11:Q11"/>
    <mergeCell ref="U11:W11"/>
    <mergeCell ref="C4:E4"/>
    <mergeCell ref="C5:E5"/>
    <mergeCell ref="I5:K5"/>
    <mergeCell ref="O5:Q5"/>
    <mergeCell ref="U5:W5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N27"/>
  <sheetViews>
    <sheetView showGridLines="0" topLeftCell="E1" zoomScaleNormal="100" workbookViewId="0">
      <selection activeCell="J1" sqref="J1"/>
    </sheetView>
  </sheetViews>
  <sheetFormatPr defaultRowHeight="15" x14ac:dyDescent="0.25"/>
  <cols>
    <col min="1" max="1" width="55.42578125" customWidth="1"/>
    <col min="3" max="3" width="55.42578125" customWidth="1"/>
    <col min="5" max="5" width="55.42578125" customWidth="1"/>
    <col min="6" max="6" width="47.42578125" customWidth="1"/>
    <col min="8" max="14" width="15.42578125" customWidth="1"/>
  </cols>
  <sheetData>
    <row r="1" spans="1:14" ht="81" customHeight="1" x14ac:dyDescent="0.25">
      <c r="A1" s="58" t="s">
        <v>1</v>
      </c>
      <c r="C1" s="58"/>
      <c r="E1" s="58"/>
      <c r="G1" s="58" t="s">
        <v>19</v>
      </c>
      <c r="H1" t="e" vm="2">
        <v>#VALUE!</v>
      </c>
      <c r="I1" t="e" vm="3">
        <v>#VALUE!</v>
      </c>
      <c r="J1" t="e" vm="4">
        <v>#VALUE!</v>
      </c>
      <c r="K1" t="e" vm="5">
        <v>#VALUE!</v>
      </c>
      <c r="L1" t="e" vm="6">
        <v>#VALUE!</v>
      </c>
      <c r="M1" t="e" vm="7">
        <v>#VALUE!</v>
      </c>
      <c r="N1" t="e" vm="8">
        <v>#VALUE!</v>
      </c>
    </row>
    <row r="2" spans="1:14" ht="393" customHeight="1" x14ac:dyDescent="0.25">
      <c r="A2" t="e" vm="9">
        <v>#VALUE!</v>
      </c>
      <c r="C2" t="e" vm="10">
        <v>#VALUE!</v>
      </c>
    </row>
    <row r="3" spans="1:14" s="59" customFormat="1" x14ac:dyDescent="0.25"/>
    <row r="4" spans="1:14" s="61" customFormat="1" ht="31.5" customHeight="1" x14ac:dyDescent="0.25">
      <c r="A4" s="60" t="s">
        <v>2</v>
      </c>
      <c r="B4" s="60" t="s">
        <v>4</v>
      </c>
      <c r="C4" s="60" t="s">
        <v>3</v>
      </c>
      <c r="D4" s="60" t="s">
        <v>6</v>
      </c>
      <c r="E4" s="60"/>
      <c r="F4" s="60" t="s">
        <v>18</v>
      </c>
    </row>
    <row r="5" spans="1:14" s="61" customFormat="1" ht="186" customHeight="1" x14ac:dyDescent="0.25">
      <c r="A5" s="60" t="s">
        <v>0</v>
      </c>
      <c r="B5" s="60" t="s">
        <v>5</v>
      </c>
      <c r="C5" s="77" t="s">
        <v>21</v>
      </c>
      <c r="D5" s="90" t="s">
        <v>7</v>
      </c>
      <c r="E5" s="60"/>
      <c r="F5" s="61" t="e" vm="11">
        <v>#VALUE!</v>
      </c>
    </row>
    <row r="6" spans="1:14" s="77" customFormat="1" ht="186" customHeight="1" x14ac:dyDescent="0.25">
      <c r="A6" s="77" t="s">
        <v>20</v>
      </c>
      <c r="B6" s="77" t="s">
        <v>5</v>
      </c>
      <c r="C6" s="77" t="s">
        <v>22</v>
      </c>
      <c r="D6" s="90" t="s">
        <v>23</v>
      </c>
    </row>
    <row r="7" spans="1:14" s="77" customFormat="1" ht="186" customHeight="1" x14ac:dyDescent="0.25">
      <c r="A7" s="77" t="s">
        <v>14</v>
      </c>
      <c r="B7" s="77" t="s">
        <v>5</v>
      </c>
      <c r="C7" s="77" t="s">
        <v>24</v>
      </c>
      <c r="D7" s="90" t="s">
        <v>9</v>
      </c>
    </row>
    <row r="8" spans="1:14" s="77" customFormat="1" ht="186" customHeight="1" x14ac:dyDescent="0.25">
      <c r="A8" s="77" t="s">
        <v>15</v>
      </c>
      <c r="B8" s="77" t="s">
        <v>5</v>
      </c>
      <c r="C8" s="77" t="s">
        <v>26</v>
      </c>
      <c r="D8" s="90" t="s">
        <v>10</v>
      </c>
    </row>
    <row r="9" spans="1:14" s="77" customFormat="1" ht="186" customHeight="1" x14ac:dyDescent="0.25">
      <c r="A9" s="77" t="s">
        <v>17</v>
      </c>
      <c r="B9" s="77" t="s">
        <v>5</v>
      </c>
      <c r="C9" s="77" t="s">
        <v>30</v>
      </c>
      <c r="D9" s="90" t="s">
        <v>8</v>
      </c>
    </row>
    <row r="10" spans="1:14" s="77" customFormat="1" ht="186" customHeight="1" x14ac:dyDescent="0.25">
      <c r="A10" s="77" t="s">
        <v>27</v>
      </c>
      <c r="B10" s="77" t="s">
        <v>5</v>
      </c>
      <c r="C10" s="77" t="s">
        <v>31</v>
      </c>
      <c r="D10" s="90" t="s">
        <v>11</v>
      </c>
    </row>
    <row r="11" spans="1:14" s="77" customFormat="1" ht="186" customHeight="1" x14ac:dyDescent="0.25">
      <c r="A11" s="77" t="s">
        <v>16</v>
      </c>
      <c r="B11" s="77" t="s">
        <v>5</v>
      </c>
      <c r="C11" s="77" t="s">
        <v>25</v>
      </c>
      <c r="D11" s="90" t="s">
        <v>12</v>
      </c>
    </row>
    <row r="12" spans="1:14" s="77" customFormat="1" ht="186" customHeight="1" x14ac:dyDescent="0.25">
      <c r="A12" s="77" t="s">
        <v>28</v>
      </c>
      <c r="B12" s="77" t="s">
        <v>5</v>
      </c>
      <c r="C12" s="77" t="s">
        <v>32</v>
      </c>
      <c r="D12" s="90" t="s">
        <v>8</v>
      </c>
    </row>
    <row r="13" spans="1:14" s="77" customFormat="1" ht="186" customHeight="1" x14ac:dyDescent="0.25">
      <c r="A13" s="77" t="s">
        <v>29</v>
      </c>
      <c r="B13" s="77" t="s">
        <v>5</v>
      </c>
      <c r="C13" s="77" t="s">
        <v>33</v>
      </c>
      <c r="D13" s="90" t="s">
        <v>12</v>
      </c>
    </row>
    <row r="14" spans="1:14" s="77" customFormat="1" ht="186" customHeight="1" x14ac:dyDescent="0.25">
      <c r="A14" s="77" t="s">
        <v>34</v>
      </c>
      <c r="B14" s="77" t="s">
        <v>13</v>
      </c>
      <c r="C14" s="77" t="s">
        <v>41</v>
      </c>
      <c r="D14" s="90" t="s">
        <v>48</v>
      </c>
    </row>
    <row r="15" spans="1:14" s="77" customFormat="1" ht="186" customHeight="1" x14ac:dyDescent="0.25">
      <c r="A15" s="77" t="s">
        <v>35</v>
      </c>
      <c r="B15" s="77" t="s">
        <v>13</v>
      </c>
      <c r="C15" s="77" t="s">
        <v>42</v>
      </c>
      <c r="D15" s="90" t="s">
        <v>48</v>
      </c>
    </row>
    <row r="16" spans="1:14" s="77" customFormat="1" ht="186" customHeight="1" x14ac:dyDescent="0.25">
      <c r="A16" s="77" t="s">
        <v>36</v>
      </c>
      <c r="B16" s="77" t="s">
        <v>13</v>
      </c>
      <c r="C16" s="77" t="s">
        <v>43</v>
      </c>
      <c r="D16" s="90" t="s">
        <v>49</v>
      </c>
    </row>
    <row r="17" spans="1:4" s="77" customFormat="1" ht="186" customHeight="1" x14ac:dyDescent="0.25">
      <c r="A17" s="77" t="s">
        <v>37</v>
      </c>
      <c r="B17" s="77" t="s">
        <v>13</v>
      </c>
      <c r="C17" s="77" t="s">
        <v>44</v>
      </c>
      <c r="D17" s="90" t="s">
        <v>49</v>
      </c>
    </row>
    <row r="18" spans="1:4" s="77" customFormat="1" ht="186" customHeight="1" x14ac:dyDescent="0.25">
      <c r="A18" s="77" t="s">
        <v>38</v>
      </c>
      <c r="B18" s="77" t="s">
        <v>13</v>
      </c>
      <c r="C18" s="77" t="s">
        <v>45</v>
      </c>
      <c r="D18" s="90" t="s">
        <v>48</v>
      </c>
    </row>
    <row r="19" spans="1:4" s="77" customFormat="1" ht="186" customHeight="1" x14ac:dyDescent="0.25">
      <c r="A19" s="77" t="s">
        <v>39</v>
      </c>
      <c r="B19" s="77" t="s">
        <v>13</v>
      </c>
      <c r="C19" s="77" t="s">
        <v>46</v>
      </c>
      <c r="D19" s="90" t="s">
        <v>48</v>
      </c>
    </row>
    <row r="20" spans="1:4" s="77" customFormat="1" ht="186" customHeight="1" x14ac:dyDescent="0.25">
      <c r="A20" s="77" t="s">
        <v>40</v>
      </c>
      <c r="B20" s="77" t="s">
        <v>13</v>
      </c>
      <c r="C20" s="77" t="s">
        <v>47</v>
      </c>
      <c r="D20" s="90" t="s">
        <v>48</v>
      </c>
    </row>
    <row r="21" spans="1:4" s="77" customFormat="1" ht="186" customHeight="1" x14ac:dyDescent="0.25">
      <c r="B21" s="77" t="s">
        <v>13</v>
      </c>
      <c r="D21" s="90"/>
    </row>
    <row r="22" spans="1:4" s="77" customFormat="1" ht="186" customHeight="1" x14ac:dyDescent="0.25">
      <c r="B22" s="77" t="s">
        <v>13</v>
      </c>
      <c r="D22" s="90"/>
    </row>
    <row r="23" spans="1:4" s="77" customFormat="1" ht="186" customHeight="1" x14ac:dyDescent="0.25">
      <c r="B23" s="77" t="s">
        <v>13</v>
      </c>
    </row>
    <row r="24" spans="1:4" s="77" customFormat="1" ht="186" customHeight="1" x14ac:dyDescent="0.25">
      <c r="B24" s="77" t="s">
        <v>13</v>
      </c>
    </row>
    <row r="25" spans="1:4" s="77" customFormat="1" ht="186" customHeight="1" x14ac:dyDescent="0.25">
      <c r="B25" s="77" t="s">
        <v>13</v>
      </c>
    </row>
    <row r="26" spans="1:4" s="77" customFormat="1" ht="186" customHeight="1" x14ac:dyDescent="0.25">
      <c r="B26" s="77" t="s">
        <v>13</v>
      </c>
    </row>
    <row r="27" spans="1:4" s="77" customFormat="1" ht="186" customHeight="1" x14ac:dyDescent="0.25">
      <c r="B27" s="77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Normal="100" workbookViewId="0">
      <selection activeCell="I6" sqref="I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204"/>
      <c r="F3" s="10"/>
      <c r="G3" s="11"/>
      <c r="K3" s="1"/>
      <c r="L3" s="2"/>
      <c r="M3" s="206"/>
      <c r="N3" s="2"/>
      <c r="O3" s="3"/>
    </row>
    <row r="4" spans="3:15" ht="49.9" customHeight="1" x14ac:dyDescent="0.25">
      <c r="C4" s="12"/>
      <c r="D4" s="182"/>
      <c r="E4" s="205"/>
      <c r="F4" s="182"/>
      <c r="G4" s="13"/>
      <c r="K4" s="4"/>
      <c r="L4" s="183"/>
      <c r="M4" s="207"/>
      <c r="N4" s="183"/>
      <c r="O4" s="5"/>
    </row>
    <row r="5" spans="3:15" ht="49.9" customHeight="1" x14ac:dyDescent="0.25">
      <c r="C5" s="12"/>
      <c r="D5" s="182"/>
      <c r="E5" s="205"/>
      <c r="F5" s="182"/>
      <c r="G5" s="13"/>
      <c r="K5" s="4"/>
      <c r="L5" s="183"/>
      <c r="M5" s="207"/>
      <c r="N5" s="183"/>
      <c r="O5" s="5"/>
    </row>
    <row r="6" spans="3:15" ht="288" customHeight="1" x14ac:dyDescent="0.45">
      <c r="C6" s="12"/>
      <c r="D6" s="187"/>
      <c r="E6" s="187"/>
      <c r="F6" s="187"/>
      <c r="G6" s="13"/>
      <c r="K6" s="4"/>
      <c r="L6" s="188"/>
      <c r="M6" s="188"/>
      <c r="N6" s="188"/>
      <c r="O6" s="5"/>
    </row>
    <row r="7" spans="3:15" ht="169.9" customHeight="1" x14ac:dyDescent="0.25">
      <c r="C7" s="12"/>
      <c r="D7" s="186"/>
      <c r="E7" s="186"/>
      <c r="F7" s="186"/>
      <c r="G7" s="66"/>
      <c r="K7" s="4"/>
      <c r="L7" s="189"/>
      <c r="M7" s="189"/>
      <c r="N7" s="189"/>
      <c r="O7" s="190"/>
    </row>
    <row r="8" spans="3:15" ht="45" customHeight="1" thickBot="1" x14ac:dyDescent="0.3">
      <c r="C8" s="14"/>
      <c r="D8" s="184"/>
      <c r="E8" s="184"/>
      <c r="F8" s="184"/>
      <c r="G8" s="15"/>
      <c r="K8" s="6"/>
      <c r="L8" s="185"/>
      <c r="M8" s="185"/>
      <c r="N8" s="185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202"/>
      <c r="F12" s="17"/>
      <c r="G12" s="18"/>
      <c r="K12" s="1"/>
      <c r="L12" s="2"/>
      <c r="M12" s="199"/>
      <c r="N12" s="2"/>
      <c r="O12" s="3"/>
    </row>
    <row r="13" spans="3:15" ht="49.9" customHeight="1" x14ac:dyDescent="0.25">
      <c r="C13" s="19"/>
      <c r="D13" s="194"/>
      <c r="E13" s="203"/>
      <c r="F13" s="194"/>
      <c r="G13" s="20"/>
      <c r="K13" s="4"/>
      <c r="L13" s="183"/>
      <c r="M13" s="200"/>
      <c r="N13" s="183"/>
      <c r="O13" s="5"/>
    </row>
    <row r="14" spans="3:15" ht="49.9" customHeight="1" x14ac:dyDescent="0.25">
      <c r="C14" s="19"/>
      <c r="D14" s="194"/>
      <c r="E14" s="203"/>
      <c r="F14" s="194"/>
      <c r="G14" s="20"/>
      <c r="K14" s="4"/>
      <c r="L14" s="183"/>
      <c r="M14" s="201"/>
      <c r="N14" s="183"/>
      <c r="O14" s="5"/>
    </row>
    <row r="15" spans="3:15" ht="288" customHeight="1" x14ac:dyDescent="0.45">
      <c r="C15" s="19"/>
      <c r="D15" s="198"/>
      <c r="E15" s="198"/>
      <c r="F15" s="198"/>
      <c r="G15" s="20"/>
      <c r="K15" s="4"/>
      <c r="L15" s="195"/>
      <c r="M15" s="196"/>
      <c r="N15" s="197"/>
      <c r="O15" s="5"/>
    </row>
    <row r="16" spans="3:15" ht="169.9" customHeight="1" x14ac:dyDescent="0.25">
      <c r="C16" s="19"/>
      <c r="D16" s="192"/>
      <c r="E16" s="192"/>
      <c r="F16" s="192"/>
      <c r="G16" s="193"/>
      <c r="K16" s="4"/>
      <c r="L16" s="189"/>
      <c r="M16" s="189"/>
      <c r="N16" s="189"/>
      <c r="O16" s="190"/>
    </row>
    <row r="17" spans="3:15" ht="45" customHeight="1" thickBot="1" x14ac:dyDescent="0.3">
      <c r="C17" s="21"/>
      <c r="D17" s="191"/>
      <c r="E17" s="191"/>
      <c r="F17" s="191"/>
      <c r="G17" s="22"/>
      <c r="K17" s="6"/>
      <c r="L17" s="185"/>
      <c r="M17" s="185"/>
      <c r="N17" s="185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209"/>
      <c r="F21" s="24"/>
      <c r="G21" s="25"/>
      <c r="K21" s="1"/>
      <c r="L21" s="2"/>
      <c r="M21" s="199"/>
      <c r="N21" s="2"/>
      <c r="O21" s="3"/>
    </row>
    <row r="22" spans="3:15" ht="49.9" customHeight="1" x14ac:dyDescent="0.25">
      <c r="C22" s="26"/>
      <c r="D22" s="208"/>
      <c r="E22" s="210"/>
      <c r="F22" s="208"/>
      <c r="G22" s="27"/>
      <c r="K22" s="4"/>
      <c r="L22" s="183"/>
      <c r="M22" s="200"/>
      <c r="N22" s="183"/>
      <c r="O22" s="5"/>
    </row>
    <row r="23" spans="3:15" ht="49.9" customHeight="1" x14ac:dyDescent="0.25">
      <c r="C23" s="26"/>
      <c r="D23" s="208"/>
      <c r="E23" s="210"/>
      <c r="F23" s="208"/>
      <c r="G23" s="27"/>
      <c r="K23" s="4"/>
      <c r="L23" s="183"/>
      <c r="M23" s="201"/>
      <c r="N23" s="183"/>
      <c r="O23" s="5"/>
    </row>
    <row r="24" spans="3:15" ht="288" customHeight="1" x14ac:dyDescent="0.45">
      <c r="C24" s="26"/>
      <c r="D24" s="217"/>
      <c r="E24" s="217"/>
      <c r="F24" s="217"/>
      <c r="G24" s="27"/>
      <c r="K24" s="4"/>
      <c r="L24" s="195"/>
      <c r="M24" s="196"/>
      <c r="N24" s="197"/>
      <c r="O24" s="5"/>
    </row>
    <row r="25" spans="3:15" ht="169.9" customHeight="1" x14ac:dyDescent="0.25">
      <c r="C25" s="26"/>
      <c r="D25" s="215"/>
      <c r="E25" s="215"/>
      <c r="F25" s="215"/>
      <c r="G25" s="216"/>
      <c r="K25" s="4"/>
      <c r="L25" s="189"/>
      <c r="M25" s="189"/>
      <c r="N25" s="189"/>
      <c r="O25" s="190"/>
    </row>
    <row r="26" spans="3:15" ht="45" customHeight="1" thickBot="1" x14ac:dyDescent="0.3">
      <c r="C26" s="28"/>
      <c r="D26" s="214"/>
      <c r="E26" s="214"/>
      <c r="F26" s="214"/>
      <c r="G26" s="29"/>
      <c r="K26" s="6"/>
      <c r="L26" s="185"/>
      <c r="M26" s="185"/>
      <c r="N26" s="185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224"/>
      <c r="F30" s="38"/>
      <c r="G30" s="39"/>
      <c r="K30" s="1"/>
      <c r="L30" s="2"/>
      <c r="M30" s="199"/>
      <c r="N30" s="2"/>
      <c r="O30" s="3"/>
    </row>
    <row r="31" spans="3:15" ht="49.9" customHeight="1" x14ac:dyDescent="0.25">
      <c r="C31" s="40"/>
      <c r="D31" s="218"/>
      <c r="E31" s="225"/>
      <c r="F31" s="218"/>
      <c r="G31" s="41"/>
      <c r="K31" s="4"/>
      <c r="L31" s="183"/>
      <c r="M31" s="200"/>
      <c r="N31" s="183"/>
      <c r="O31" s="5"/>
    </row>
    <row r="32" spans="3:15" ht="49.9" customHeight="1" x14ac:dyDescent="0.25">
      <c r="C32" s="40"/>
      <c r="D32" s="218"/>
      <c r="E32" s="225"/>
      <c r="F32" s="218"/>
      <c r="G32" s="41"/>
      <c r="K32" s="4"/>
      <c r="L32" s="183"/>
      <c r="M32" s="201"/>
      <c r="N32" s="183"/>
      <c r="O32" s="5"/>
    </row>
    <row r="33" spans="3:15" ht="288" customHeight="1" x14ac:dyDescent="0.45">
      <c r="C33" s="40"/>
      <c r="D33" s="223"/>
      <c r="E33" s="223"/>
      <c r="F33" s="223"/>
      <c r="G33" s="41"/>
      <c r="K33" s="4"/>
      <c r="L33" s="195"/>
      <c r="M33" s="196"/>
      <c r="N33" s="197"/>
      <c r="O33" s="5"/>
    </row>
    <row r="34" spans="3:15" ht="169.9" customHeight="1" x14ac:dyDescent="0.25">
      <c r="C34" s="40"/>
      <c r="D34" s="212"/>
      <c r="E34" s="212"/>
      <c r="F34" s="212"/>
      <c r="G34" s="213"/>
      <c r="K34" s="4"/>
      <c r="L34" s="189"/>
      <c r="M34" s="189"/>
      <c r="N34" s="189"/>
      <c r="O34" s="190"/>
    </row>
    <row r="35" spans="3:15" ht="45" customHeight="1" thickBot="1" x14ac:dyDescent="0.3">
      <c r="C35" s="42"/>
      <c r="D35" s="211"/>
      <c r="E35" s="211"/>
      <c r="F35" s="211"/>
      <c r="G35" s="43"/>
      <c r="K35" s="6"/>
      <c r="L35" s="185"/>
      <c r="M35" s="185"/>
      <c r="N35" s="185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227"/>
      <c r="F39" s="45"/>
      <c r="G39" s="46"/>
      <c r="K39" s="1"/>
      <c r="L39" s="2"/>
      <c r="M39" s="199"/>
      <c r="N39" s="2"/>
      <c r="O39" s="3"/>
    </row>
    <row r="40" spans="3:15" ht="49.9" customHeight="1" x14ac:dyDescent="0.25">
      <c r="C40" s="47"/>
      <c r="D40" s="226"/>
      <c r="E40" s="228"/>
      <c r="F40" s="226"/>
      <c r="G40" s="48"/>
      <c r="K40" s="4"/>
      <c r="L40" s="183"/>
      <c r="M40" s="200"/>
      <c r="N40" s="183"/>
      <c r="O40" s="5"/>
    </row>
    <row r="41" spans="3:15" ht="49.9" customHeight="1" x14ac:dyDescent="0.25">
      <c r="C41" s="47"/>
      <c r="D41" s="226"/>
      <c r="E41" s="228"/>
      <c r="F41" s="226"/>
      <c r="G41" s="48"/>
      <c r="K41" s="4"/>
      <c r="L41" s="183"/>
      <c r="M41" s="201"/>
      <c r="N41" s="183"/>
      <c r="O41" s="5"/>
    </row>
    <row r="42" spans="3:15" ht="288" customHeight="1" x14ac:dyDescent="0.45">
      <c r="C42" s="47"/>
      <c r="D42" s="222"/>
      <c r="E42" s="222"/>
      <c r="F42" s="222"/>
      <c r="G42" s="48"/>
      <c r="K42" s="4"/>
      <c r="L42" s="195"/>
      <c r="M42" s="196"/>
      <c r="N42" s="197"/>
      <c r="O42" s="5"/>
    </row>
    <row r="43" spans="3:15" ht="169.9" customHeight="1" x14ac:dyDescent="0.25">
      <c r="C43" s="47"/>
      <c r="D43" s="220"/>
      <c r="E43" s="220"/>
      <c r="F43" s="220"/>
      <c r="G43" s="221"/>
      <c r="K43" s="4"/>
      <c r="L43" s="189"/>
      <c r="M43" s="189"/>
      <c r="N43" s="189"/>
      <c r="O43" s="190"/>
    </row>
    <row r="44" spans="3:15" ht="45" customHeight="1" thickBot="1" x14ac:dyDescent="0.3">
      <c r="C44" s="49"/>
      <c r="D44" s="219"/>
      <c r="E44" s="219"/>
      <c r="F44" s="219"/>
      <c r="G44" s="50"/>
      <c r="K44" s="6"/>
      <c r="L44" s="185"/>
      <c r="M44" s="185"/>
      <c r="N44" s="185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233"/>
      <c r="F48" s="52"/>
      <c r="G48" s="53"/>
      <c r="K48" s="1"/>
      <c r="L48" s="2"/>
      <c r="M48" s="199"/>
      <c r="N48" s="2"/>
      <c r="O48" s="3"/>
    </row>
    <row r="49" spans="3:15" ht="49.9" customHeight="1" x14ac:dyDescent="0.25">
      <c r="C49" s="54"/>
      <c r="D49" s="177"/>
      <c r="E49" s="234"/>
      <c r="F49" s="177"/>
      <c r="G49" s="55"/>
      <c r="K49" s="4"/>
      <c r="L49" s="183"/>
      <c r="M49" s="200"/>
      <c r="N49" s="183"/>
      <c r="O49" s="5"/>
    </row>
    <row r="50" spans="3:15" ht="49.9" customHeight="1" x14ac:dyDescent="0.25">
      <c r="C50" s="54"/>
      <c r="D50" s="177"/>
      <c r="E50" s="234"/>
      <c r="F50" s="177"/>
      <c r="G50" s="55"/>
      <c r="K50" s="4"/>
      <c r="L50" s="183"/>
      <c r="M50" s="201"/>
      <c r="N50" s="183"/>
      <c r="O50" s="5"/>
    </row>
    <row r="51" spans="3:15" ht="288" customHeight="1" x14ac:dyDescent="0.45">
      <c r="C51" s="54"/>
      <c r="D51" s="232"/>
      <c r="E51" s="232"/>
      <c r="F51" s="232"/>
      <c r="G51" s="55"/>
      <c r="K51" s="4"/>
      <c r="L51" s="195"/>
      <c r="M51" s="196"/>
      <c r="N51" s="197"/>
      <c r="O51" s="5"/>
    </row>
    <row r="52" spans="3:15" ht="169.9" customHeight="1" x14ac:dyDescent="0.25">
      <c r="C52" s="54"/>
      <c r="D52" s="230"/>
      <c r="E52" s="230"/>
      <c r="F52" s="230"/>
      <c r="G52" s="231"/>
      <c r="K52" s="4"/>
      <c r="L52" s="189"/>
      <c r="M52" s="189"/>
      <c r="N52" s="189"/>
      <c r="O52" s="190"/>
    </row>
    <row r="53" spans="3:15" ht="45" customHeight="1" thickBot="1" x14ac:dyDescent="0.3">
      <c r="C53" s="56"/>
      <c r="D53" s="229"/>
      <c r="E53" s="229"/>
      <c r="F53" s="229"/>
      <c r="G53" s="57"/>
      <c r="K53" s="6"/>
      <c r="L53" s="185"/>
      <c r="M53" s="185"/>
      <c r="N53" s="185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4:F5"/>
    <mergeCell ref="L4:L5"/>
    <mergeCell ref="D8:F8"/>
    <mergeCell ref="L8:N8"/>
    <mergeCell ref="D7:F7"/>
    <mergeCell ref="D6:F6"/>
    <mergeCell ref="L6:N6"/>
    <mergeCell ref="L7:O7"/>
    <mergeCell ref="N4:N5"/>
    <mergeCell ref="E3:E5"/>
    <mergeCell ref="M3:M5"/>
    <mergeCell ref="D4:D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O9"/>
  <sheetViews>
    <sheetView showGridLines="0" zoomScaleNormal="100" workbookViewId="0">
      <selection activeCell="W7" sqref="W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30"/>
      <c r="D3" s="31"/>
      <c r="E3" s="240"/>
      <c r="F3" s="31"/>
      <c r="G3" s="32"/>
      <c r="K3" s="1"/>
      <c r="L3" s="2"/>
      <c r="M3" s="2"/>
      <c r="N3" s="2"/>
      <c r="O3" s="3"/>
    </row>
    <row r="4" spans="3:15" ht="49.9" customHeight="1" x14ac:dyDescent="0.25">
      <c r="C4" s="33"/>
      <c r="D4" s="244"/>
      <c r="E4" s="241"/>
      <c r="F4" s="244"/>
      <c r="G4" s="34"/>
      <c r="K4" s="4"/>
      <c r="L4" s="183"/>
      <c r="M4" s="8"/>
      <c r="N4" s="183"/>
      <c r="O4" s="5"/>
    </row>
    <row r="5" spans="3:15" ht="49.9" customHeight="1" x14ac:dyDescent="0.25">
      <c r="C5" s="33"/>
      <c r="D5" s="244"/>
      <c r="E5" s="241"/>
      <c r="F5" s="244"/>
      <c r="G5" s="34"/>
      <c r="K5" s="4"/>
      <c r="L5" s="183"/>
      <c r="M5" s="8"/>
      <c r="N5" s="183"/>
      <c r="O5" s="5"/>
    </row>
    <row r="6" spans="3:15" ht="288" customHeight="1" x14ac:dyDescent="0.45">
      <c r="C6" s="33"/>
      <c r="D6" s="245"/>
      <c r="E6" s="245"/>
      <c r="F6" s="245"/>
      <c r="G6" s="34"/>
      <c r="K6" s="4"/>
      <c r="L6" s="235"/>
      <c r="M6" s="236"/>
      <c r="N6" s="237"/>
      <c r="O6" s="5"/>
    </row>
    <row r="7" spans="3:15" ht="169.9" customHeight="1" x14ac:dyDescent="0.25">
      <c r="C7" s="33"/>
      <c r="D7" s="242"/>
      <c r="E7" s="242"/>
      <c r="F7" s="242"/>
      <c r="G7" s="243"/>
      <c r="K7" s="4"/>
      <c r="L7" s="238"/>
      <c r="M7" s="238"/>
      <c r="N7" s="238"/>
      <c r="O7" s="5"/>
    </row>
    <row r="8" spans="3:15" ht="45" customHeight="1" thickBot="1" x14ac:dyDescent="0.3">
      <c r="C8" s="35"/>
      <c r="D8" s="239"/>
      <c r="E8" s="239"/>
      <c r="F8" s="239"/>
      <c r="G8" s="36"/>
      <c r="K8" s="6"/>
      <c r="L8" s="185"/>
      <c r="M8" s="185"/>
      <c r="N8" s="185"/>
      <c r="O8" s="7"/>
    </row>
    <row r="9" spans="3:15" ht="10.15" customHeight="1" x14ac:dyDescent="0.25"/>
  </sheetData>
  <mergeCells count="11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2026-02-28T23:16:26Z</dcterms:modified>
</cp:coreProperties>
</file>