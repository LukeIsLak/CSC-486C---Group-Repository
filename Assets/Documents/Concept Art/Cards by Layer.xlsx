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109F8892-5680-4920-AA05-AEDE15AB20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5" l="1"/>
  <c r="H4" i="15"/>
  <c r="H5" i="15"/>
  <c r="D3" i="15"/>
  <c r="C4" i="15"/>
  <c r="C5" i="15"/>
  <c r="R25" i="15"/>
  <c r="R24" i="15"/>
  <c r="S23" i="15"/>
  <c r="M25" i="15"/>
  <c r="M24" i="15"/>
  <c r="N23" i="15"/>
  <c r="H25" i="15"/>
  <c r="H24" i="15"/>
  <c r="I23" i="15"/>
  <c r="C25" i="15"/>
  <c r="C24" i="15"/>
  <c r="D23" i="15"/>
  <c r="R20" i="15"/>
  <c r="R19" i="15"/>
  <c r="S18" i="15"/>
  <c r="M20" i="15"/>
  <c r="M19" i="15"/>
  <c r="N18" i="15"/>
  <c r="H20" i="15"/>
  <c r="H19" i="15"/>
  <c r="I18" i="15"/>
  <c r="C20" i="15"/>
  <c r="C19" i="15"/>
  <c r="D18" i="15"/>
  <c r="R15" i="15"/>
  <c r="R14" i="15"/>
  <c r="S13" i="15"/>
  <c r="M15" i="15"/>
  <c r="M14" i="15"/>
  <c r="N13" i="15"/>
  <c r="H15" i="15"/>
  <c r="H14" i="15"/>
  <c r="I13" i="15"/>
  <c r="C15" i="15"/>
  <c r="C14" i="15"/>
  <c r="D13" i="15"/>
  <c r="R10" i="15"/>
  <c r="R9" i="15"/>
  <c r="S8" i="15"/>
  <c r="M10" i="15"/>
  <c r="M9" i="15"/>
  <c r="N8" i="15"/>
  <c r="H9" i="15"/>
  <c r="H10" i="15"/>
  <c r="I8" i="15"/>
  <c r="C10" i="15"/>
  <c r="C9" i="15"/>
  <c r="R4" i="15"/>
  <c r="M4" i="15"/>
  <c r="D8" i="15"/>
  <c r="R5" i="15"/>
  <c r="M5" i="15"/>
  <c r="S3" i="15"/>
  <c r="N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</futureMetadata>
  <valueMetadata count="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<sst xmlns="http://schemas.openxmlformats.org/spreadsheetml/2006/main" count="111" uniqueCount="59">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</sst>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5" borderId="0" xfId="0" applyFill="1"/>
    <xf numFmtId="0" fontId="0" fillId="15" borderId="0" xfId="0" applyFill="1" applyAlignment="1">
      <alignment vertical="center"/>
    </xf>
    <xf numFmtId="0" fontId="0" fillId="11" borderId="0" xfId="0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emf"/><Relationship Id="rId13" Type="http://schemas.openxmlformats.org/officeDocument/2006/relationships/image" Target="../media/image71.emf"/><Relationship Id="rId18" Type="http://schemas.openxmlformats.org/officeDocument/2006/relationships/image" Target="../media/image76.emf"/><Relationship Id="rId3" Type="http://schemas.openxmlformats.org/officeDocument/2006/relationships/image" Target="../media/image61.emf"/><Relationship Id="rId7" Type="http://schemas.openxmlformats.org/officeDocument/2006/relationships/image" Target="../media/image65.emf"/><Relationship Id="rId12" Type="http://schemas.openxmlformats.org/officeDocument/2006/relationships/image" Target="../media/image70.emf"/><Relationship Id="rId17" Type="http://schemas.openxmlformats.org/officeDocument/2006/relationships/image" Target="../media/image75.emf"/><Relationship Id="rId2" Type="http://schemas.openxmlformats.org/officeDocument/2006/relationships/image" Target="../media/image60.emf"/><Relationship Id="rId16" Type="http://schemas.openxmlformats.org/officeDocument/2006/relationships/image" Target="../media/image74.emf"/><Relationship Id="rId1" Type="http://schemas.openxmlformats.org/officeDocument/2006/relationships/image" Target="../media/image59.emf"/><Relationship Id="rId6" Type="http://schemas.openxmlformats.org/officeDocument/2006/relationships/image" Target="../media/image64.emf"/><Relationship Id="rId11" Type="http://schemas.openxmlformats.org/officeDocument/2006/relationships/image" Target="../media/image69.emf"/><Relationship Id="rId5" Type="http://schemas.openxmlformats.org/officeDocument/2006/relationships/image" Target="../media/image63.emf"/><Relationship Id="rId15" Type="http://schemas.openxmlformats.org/officeDocument/2006/relationships/image" Target="../media/image73.emf"/><Relationship Id="rId10" Type="http://schemas.openxmlformats.org/officeDocument/2006/relationships/image" Target="../media/image68.emf"/><Relationship Id="rId4" Type="http://schemas.openxmlformats.org/officeDocument/2006/relationships/image" Target="../media/image62.emf"/><Relationship Id="rId9" Type="http://schemas.openxmlformats.org/officeDocument/2006/relationships/image" Target="../media/image67.emf"/><Relationship Id="rId14" Type="http://schemas.openxmlformats.org/officeDocument/2006/relationships/image" Target="../media/image7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4.emf"/><Relationship Id="rId3" Type="http://schemas.openxmlformats.org/officeDocument/2006/relationships/image" Target="../media/image79.emf"/><Relationship Id="rId7" Type="http://schemas.openxmlformats.org/officeDocument/2006/relationships/image" Target="../media/image83.emf"/><Relationship Id="rId12" Type="http://schemas.openxmlformats.org/officeDocument/2006/relationships/image" Target="../media/image88.emf"/><Relationship Id="rId2" Type="http://schemas.openxmlformats.org/officeDocument/2006/relationships/image" Target="../media/image78.emf"/><Relationship Id="rId1" Type="http://schemas.openxmlformats.org/officeDocument/2006/relationships/image" Target="../media/image77.emf"/><Relationship Id="rId6" Type="http://schemas.openxmlformats.org/officeDocument/2006/relationships/image" Target="../media/image82.emf"/><Relationship Id="rId11" Type="http://schemas.openxmlformats.org/officeDocument/2006/relationships/image" Target="../media/image87.emf"/><Relationship Id="rId5" Type="http://schemas.openxmlformats.org/officeDocument/2006/relationships/image" Target="../media/image81.emf"/><Relationship Id="rId10" Type="http://schemas.openxmlformats.org/officeDocument/2006/relationships/image" Target="../media/image86.emf"/><Relationship Id="rId4" Type="http://schemas.openxmlformats.org/officeDocument/2006/relationships/image" Target="../media/image80.emf"/><Relationship Id="rId9" Type="http://schemas.openxmlformats.org/officeDocument/2006/relationships/image" Target="../media/image8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6</xdr:col>
      <xdr:colOff>9525</xdr:colOff>
      <xdr:row>21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16</xdr:row>
      <xdr:rowOff>0</xdr:rowOff>
    </xdr:from>
    <xdr:to>
      <xdr:col>11</xdr:col>
      <xdr:colOff>9525</xdr:colOff>
      <xdr:row>21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16</xdr:row>
      <xdr:rowOff>0</xdr:rowOff>
    </xdr:from>
    <xdr:to>
      <xdr:col>16</xdr:col>
      <xdr:colOff>9525</xdr:colOff>
      <xdr:row>21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16</xdr:row>
      <xdr:rowOff>0</xdr:rowOff>
    </xdr:from>
    <xdr:to>
      <xdr:col>21</xdr:col>
      <xdr:colOff>9525</xdr:colOff>
      <xdr:row>21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6</xdr:col>
      <xdr:colOff>9525</xdr:colOff>
      <xdr:row>26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11</xdr:col>
      <xdr:colOff>9525</xdr:colOff>
      <xdr:row>26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11</xdr:row>
      <xdr:rowOff>0</xdr:rowOff>
    </xdr:from>
    <xdr:to>
      <xdr:col>21</xdr:col>
      <xdr:colOff>9525</xdr:colOff>
      <xdr:row>16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11</xdr:row>
      <xdr:rowOff>0</xdr:rowOff>
    </xdr:from>
    <xdr:to>
      <xdr:col>16</xdr:col>
      <xdr:colOff>9525</xdr:colOff>
      <xdr:row>16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11</xdr:row>
      <xdr:rowOff>0</xdr:rowOff>
    </xdr:from>
    <xdr:to>
      <xdr:col>11</xdr:col>
      <xdr:colOff>9525</xdr:colOff>
      <xdr:row>16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6</xdr:col>
      <xdr:colOff>9525</xdr:colOff>
      <xdr:row>16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6</xdr:row>
      <xdr:rowOff>0</xdr:rowOff>
    </xdr:from>
    <xdr:to>
      <xdr:col>21</xdr:col>
      <xdr:colOff>9525</xdr:colOff>
      <xdr:row>11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16</xdr:col>
      <xdr:colOff>9525</xdr:colOff>
      <xdr:row>11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6</xdr:row>
      <xdr:rowOff>0</xdr:rowOff>
    </xdr:from>
    <xdr:to>
      <xdr:col>11</xdr:col>
      <xdr:colOff>9525</xdr:colOff>
      <xdr:row>11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6</xdr:col>
      <xdr:colOff>9525</xdr:colOff>
      <xdr:row>11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</xdr:row>
      <xdr:rowOff>0</xdr:rowOff>
    </xdr:from>
    <xdr:to>
      <xdr:col>21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16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11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3</xdr:col>
          <xdr:colOff>47625</xdr:colOff>
          <xdr:row>7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3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6</xdr:row>
          <xdr:rowOff>0</xdr:rowOff>
        </xdr:from>
        <xdr:to>
          <xdr:col>18</xdr:col>
          <xdr:colOff>47625</xdr:colOff>
          <xdr:row>7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34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0</xdr:rowOff>
        </xdr:from>
        <xdr:to>
          <xdr:col>8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35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</xdr:row>
          <xdr:rowOff>0</xdr:rowOff>
        </xdr:from>
        <xdr:to>
          <xdr:col>18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36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6</xdr:row>
          <xdr:rowOff>0</xdr:rowOff>
        </xdr:from>
        <xdr:to>
          <xdr:col>8</xdr:col>
          <xdr:colOff>47625</xdr:colOff>
          <xdr:row>7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3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6</xdr:row>
          <xdr:rowOff>0</xdr:rowOff>
        </xdr:from>
        <xdr:to>
          <xdr:col>13</xdr:col>
          <xdr:colOff>47625</xdr:colOff>
          <xdr:row>7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38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3</xdr:col>
          <xdr:colOff>47625</xdr:colOff>
          <xdr:row>12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39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11</xdr:row>
          <xdr:rowOff>0</xdr:rowOff>
        </xdr:from>
        <xdr:to>
          <xdr:col>8</xdr:col>
          <xdr:colOff>47625</xdr:colOff>
          <xdr:row>12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0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11</xdr:row>
          <xdr:rowOff>0</xdr:rowOff>
        </xdr:from>
        <xdr:to>
          <xdr:col>13</xdr:col>
          <xdr:colOff>47625</xdr:colOff>
          <xdr:row>12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1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16</xdr:row>
          <xdr:rowOff>0</xdr:rowOff>
        </xdr:from>
        <xdr:to>
          <xdr:col>13</xdr:col>
          <xdr:colOff>47625</xdr:colOff>
          <xdr:row>17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2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16</xdr:row>
          <xdr:rowOff>0</xdr:rowOff>
        </xdr:from>
        <xdr:to>
          <xdr:col>8</xdr:col>
          <xdr:colOff>47625</xdr:colOff>
          <xdr:row>17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3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16</xdr:row>
          <xdr:rowOff>0</xdr:rowOff>
        </xdr:from>
        <xdr:to>
          <xdr:col>18</xdr:col>
          <xdr:colOff>47625</xdr:colOff>
          <xdr:row>17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4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11</xdr:row>
          <xdr:rowOff>0</xdr:rowOff>
        </xdr:from>
        <xdr:to>
          <xdr:col>18</xdr:col>
          <xdr:colOff>47625</xdr:colOff>
          <xdr:row>12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5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16</xdr:row>
          <xdr:rowOff>0</xdr:rowOff>
        </xdr:from>
        <xdr:to>
          <xdr:col>3</xdr:col>
          <xdr:colOff>47625</xdr:colOff>
          <xdr:row>17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6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21</xdr:row>
          <xdr:rowOff>0</xdr:rowOff>
        </xdr:from>
        <xdr:to>
          <xdr:col>3</xdr:col>
          <xdr:colOff>47625</xdr:colOff>
          <xdr:row>22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7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21</xdr:row>
          <xdr:rowOff>0</xdr:rowOff>
        </xdr:from>
        <xdr:to>
          <xdr:col>8</xdr:col>
          <xdr:colOff>47625</xdr:colOff>
          <xdr:row>22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248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11</xdr:col>
      <xdr:colOff>0</xdr:colOff>
      <xdr:row>1</xdr:row>
      <xdr:rowOff>0</xdr:rowOff>
    </xdr:from>
    <xdr:to>
      <xdr:col>13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16</xdr:col>
      <xdr:colOff>9525</xdr:colOff>
      <xdr:row>26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012A3C-9297-C268-573B-B28B633BBB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21</xdr:row>
      <xdr:rowOff>0</xdr:rowOff>
    </xdr:from>
    <xdr:to>
      <xdr:col>21</xdr:col>
      <xdr:colOff>9525</xdr:colOff>
      <xdr:row>26</xdr:row>
      <xdr:rowOff>19050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E9ED85E-3DA5-B5A1-932D-D8944C0DEE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871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6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A1:V27"/>
  <sheetViews>
    <sheetView showGridLines="0" tabSelected="1" topLeftCell="A4" zoomScaleNormal="100" workbookViewId="0">
      <selection activeCell="Y4" sqref="Y4"/>
    </sheetView>
  </sheetViews>
  <sheetFormatPr defaultRowHeight="15" x14ac:dyDescent="0.25"/>
  <cols>
    <col min="1" max="1" width="2.7109375" style="137" customWidth="1"/>
    <col min="2" max="2" width="4" customWidth="1"/>
    <col min="3" max="3" width="10.85546875" customWidth="1"/>
    <col min="4" max="4" width="25.7109375" customWidth="1"/>
    <col min="5" max="5" width="10.85546875" customWidth="1"/>
    <col min="6" max="7" width="4" customWidth="1"/>
    <col min="8" max="8" width="10.85546875" customWidth="1"/>
    <col min="9" max="9" width="25.7109375" customWidth="1"/>
    <col min="10" max="10" width="10.85546875" customWidth="1"/>
    <col min="11" max="12" width="4" customWidth="1"/>
    <col min="13" max="13" width="10.85546875" customWidth="1"/>
    <col min="14" max="14" width="25.7109375" customWidth="1"/>
    <col min="15" max="15" width="10.85546875" customWidth="1"/>
    <col min="16" max="17" width="4" customWidth="1"/>
    <col min="18" max="18" width="10.85546875" customWidth="1"/>
    <col min="19" max="19" width="25.7109375" customWidth="1"/>
    <col min="20" max="20" width="10.85546875" customWidth="1"/>
    <col min="21" max="21" width="4" customWidth="1"/>
    <col min="22" max="22" width="2.7109375" style="137" customWidth="1"/>
  </cols>
  <sheetData>
    <row r="1" spans="1:22" s="137" customFormat="1" ht="15.75" thickBot="1" x14ac:dyDescent="0.3"/>
    <row r="2" spans="1:22" ht="12.75" customHeight="1" x14ac:dyDescent="0.25">
      <c r="B2" s="35"/>
      <c r="C2" s="36"/>
      <c r="D2" s="36"/>
      <c r="E2" s="36"/>
      <c r="F2" s="37"/>
      <c r="G2" s="47"/>
      <c r="H2" s="48"/>
      <c r="I2" s="48"/>
      <c r="J2" s="48"/>
      <c r="K2" s="49"/>
      <c r="L2" s="1"/>
      <c r="M2" s="2"/>
      <c r="N2" s="2"/>
      <c r="O2" s="2"/>
      <c r="P2" s="59"/>
      <c r="Q2" s="5"/>
      <c r="R2" s="6"/>
      <c r="S2" s="6"/>
      <c r="T2" s="6"/>
      <c r="U2" s="25"/>
    </row>
    <row r="3" spans="1:22" s="21" customFormat="1" ht="72" customHeight="1" x14ac:dyDescent="0.25">
      <c r="A3" s="138"/>
      <c r="B3" s="38"/>
      <c r="C3" s="39"/>
      <c r="D3" s="39" t="str">
        <f>'Cards Src'!$A2</f>
        <v>FIREBALL</v>
      </c>
      <c r="E3" s="39"/>
      <c r="F3" s="40"/>
      <c r="G3" s="50"/>
      <c r="H3" s="51"/>
      <c r="I3" s="85" t="str">
        <f>'Cards Src'!A3</f>
        <v>FROST NOVA</v>
      </c>
      <c r="J3" s="51"/>
      <c r="K3" s="52"/>
      <c r="L3" s="60"/>
      <c r="M3" s="61"/>
      <c r="N3" s="62" t="str">
        <f>'Cards Src'!A4</f>
        <v>TIDAL WAVE</v>
      </c>
      <c r="O3" s="61"/>
      <c r="P3" s="63"/>
      <c r="Q3" s="26"/>
      <c r="R3" s="27"/>
      <c r="S3" s="33" t="str">
        <f>'Cards Src'!A5</f>
        <v>BRAMBLE SNARE</v>
      </c>
      <c r="T3" s="27"/>
      <c r="U3" s="28"/>
      <c r="V3" s="138"/>
    </row>
    <row r="4" spans="1:22" ht="184.5" customHeight="1" x14ac:dyDescent="0.25">
      <c r="B4" s="41"/>
      <c r="C4" s="152" t="e" vm="1">
        <f>'Cards Src'!E2</f>
        <v>#VALUE!</v>
      </c>
      <c r="D4" s="152"/>
      <c r="E4" s="152"/>
      <c r="F4" s="42"/>
      <c r="G4" s="53"/>
      <c r="H4" s="157" t="e" vm="2">
        <f>'Cards Src'!E3</f>
        <v>#VALUE!</v>
      </c>
      <c r="I4" s="157"/>
      <c r="J4" s="157"/>
      <c r="K4" s="54"/>
      <c r="L4" s="116"/>
      <c r="M4" s="158" t="e" vm="3">
        <f>'Cards Src'!E4</f>
        <v>#VALUE!</v>
      </c>
      <c r="N4" s="158"/>
      <c r="O4" s="158"/>
      <c r="P4" s="64"/>
      <c r="Q4" s="7"/>
      <c r="R4" s="159" t="e" vm="4">
        <f xml:space="preserve"> 'Cards Src'!E5</f>
        <v>#VALUE!</v>
      </c>
      <c r="S4" s="159"/>
      <c r="T4" s="159"/>
      <c r="U4" s="29"/>
    </row>
    <row r="5" spans="1:22" ht="93" customHeight="1" x14ac:dyDescent="0.25">
      <c r="B5" s="41"/>
      <c r="C5" s="153" t="str">
        <f>'Cards Src'!$C2</f>
        <v>Deals damage on contact. Explodes against surfaces</v>
      </c>
      <c r="D5" s="153"/>
      <c r="E5" s="153"/>
      <c r="F5" s="43"/>
      <c r="G5" s="53"/>
      <c r="H5" s="154" t="str">
        <f>'Cards Src'!$C3</f>
        <v>Explodes on contact and freezes enemies. Frozen enemies take 1.5x damage</v>
      </c>
      <c r="I5" s="154"/>
      <c r="J5" s="154"/>
      <c r="K5" s="55"/>
      <c r="L5" s="3"/>
      <c r="M5" s="155" t="str">
        <f>'Cards Src'!C4</f>
        <v>Summons a wave that pushes back all enemies it hits, accumulating damage</v>
      </c>
      <c r="N5" s="155"/>
      <c r="O5" s="155"/>
      <c r="P5" s="65"/>
      <c r="Q5" s="7"/>
      <c r="R5" s="156" t="str">
        <f>'Cards Src'!C5</f>
        <v>Creates a trap area that slows + damages enemies as they move through it</v>
      </c>
      <c r="S5" s="156"/>
      <c r="T5" s="156"/>
      <c r="U5" s="30"/>
    </row>
    <row r="6" spans="1:22" ht="30" customHeight="1" thickBot="1" x14ac:dyDescent="0.3">
      <c r="B6" s="44"/>
      <c r="C6" s="45"/>
      <c r="D6" s="45"/>
      <c r="E6" s="45"/>
      <c r="F6" s="46"/>
      <c r="G6" s="56"/>
      <c r="H6" s="57"/>
      <c r="I6" s="57"/>
      <c r="J6" s="57"/>
      <c r="K6" s="58"/>
      <c r="L6" s="4"/>
      <c r="M6" s="66"/>
      <c r="N6" s="66"/>
      <c r="O6" s="66"/>
      <c r="P6" s="67"/>
      <c r="Q6" s="8"/>
      <c r="R6" s="31"/>
      <c r="S6" s="31"/>
      <c r="T6" s="31"/>
      <c r="U6" s="32"/>
    </row>
    <row r="7" spans="1:22" ht="12.75" customHeight="1" x14ac:dyDescent="0.25">
      <c r="B7" s="9"/>
      <c r="C7" s="10"/>
      <c r="D7" s="10"/>
      <c r="E7" s="10"/>
      <c r="F7" s="117"/>
      <c r="G7" s="13"/>
      <c r="H7" s="14"/>
      <c r="I7" s="14"/>
      <c r="J7" s="14"/>
      <c r="K7" s="68"/>
      <c r="L7" s="17"/>
      <c r="M7" s="18"/>
      <c r="N7" s="18"/>
      <c r="O7" s="18"/>
      <c r="P7" s="76"/>
      <c r="Q7" s="9"/>
      <c r="R7" s="10"/>
      <c r="S7" s="10"/>
      <c r="T7" s="10"/>
      <c r="U7" s="117"/>
    </row>
    <row r="8" spans="1:22" s="21" customFormat="1" ht="72" customHeight="1" x14ac:dyDescent="0.25">
      <c r="A8" s="138"/>
      <c r="B8" s="118"/>
      <c r="C8" s="119"/>
      <c r="D8" s="120" t="str">
        <f>'Cards Src'!$A6</f>
        <v>LIGHTNING BOLT</v>
      </c>
      <c r="E8" s="119"/>
      <c r="F8" s="121"/>
      <c r="G8" s="69"/>
      <c r="H8" s="70"/>
      <c r="I8" s="86" t="str">
        <f>'Cards Src'!A7</f>
        <v>BLACK HOLE</v>
      </c>
      <c r="J8" s="70"/>
      <c r="K8" s="71"/>
      <c r="L8" s="77"/>
      <c r="M8" s="78"/>
      <c r="N8" s="79" t="str">
        <f>'Cards Src'!A8</f>
        <v>ASTRAL DAGGER</v>
      </c>
      <c r="O8" s="78"/>
      <c r="P8" s="80"/>
      <c r="Q8" s="118"/>
      <c r="R8" s="119"/>
      <c r="S8" s="120" t="str">
        <f>'Cards Src'!A9</f>
        <v>CHAIN LIGHTNING</v>
      </c>
      <c r="T8" s="119"/>
      <c r="U8" s="121"/>
      <c r="V8" s="138"/>
    </row>
    <row r="9" spans="1:22" ht="184.5" customHeight="1" x14ac:dyDescent="0.25">
      <c r="B9" s="11"/>
      <c r="C9" s="147" t="e" vm="5">
        <f>'Cards Src'!E6</f>
        <v>#VALUE!</v>
      </c>
      <c r="D9" s="147"/>
      <c r="E9" s="147"/>
      <c r="F9" s="126"/>
      <c r="G9" s="15"/>
      <c r="H9" s="151" t="e" vm="6">
        <f>'Cards Src'!E7</f>
        <v>#VALUE!</v>
      </c>
      <c r="I9" s="151"/>
      <c r="J9" s="151"/>
      <c r="K9" s="72"/>
      <c r="L9" s="19"/>
      <c r="M9" s="144" t="e" vm="7">
        <f>'Cards Src'!E8</f>
        <v>#VALUE!</v>
      </c>
      <c r="N9" s="144"/>
      <c r="O9" s="144"/>
      <c r="P9" s="81"/>
      <c r="Q9" s="11"/>
      <c r="R9" s="147" t="e" vm="8">
        <f>'Cards Src'!E9</f>
        <v>#VALUE!</v>
      </c>
      <c r="S9" s="147"/>
      <c r="T9" s="147"/>
      <c r="U9" s="122"/>
    </row>
    <row r="10" spans="1:22" ht="93" customHeight="1" x14ac:dyDescent="0.25">
      <c r="B10" s="11"/>
      <c r="C10" s="148" t="str">
        <f>'Cards Src'!$C6</f>
        <v>Casts a bolt of lightning</v>
      </c>
      <c r="D10" s="148"/>
      <c r="E10" s="148"/>
      <c r="F10" s="123"/>
      <c r="G10" s="15"/>
      <c r="H10" s="149" t="str">
        <f>'Cards Src'!$C7</f>
        <v>Vacuums in nearby enemies</v>
      </c>
      <c r="I10" s="149"/>
      <c r="J10" s="149"/>
      <c r="K10" s="73"/>
      <c r="L10" s="19"/>
      <c r="M10" s="150" t="str">
        <f>'Cards Src'!C8</f>
        <v>Flies to the nearest enemy in vision</v>
      </c>
      <c r="N10" s="150"/>
      <c r="O10" s="150"/>
      <c r="P10" s="82"/>
      <c r="Q10" s="11"/>
      <c r="R10" s="148" t="str">
        <f>'Cards Src'!C9</f>
        <v>Casts a tracking bolt of lightning that can chain to close enemies</v>
      </c>
      <c r="S10" s="148"/>
      <c r="T10" s="148"/>
      <c r="U10" s="123"/>
    </row>
    <row r="11" spans="1:22" ht="30" customHeight="1" thickBot="1" x14ac:dyDescent="0.3">
      <c r="B11" s="12"/>
      <c r="C11" s="124"/>
      <c r="D11" s="124"/>
      <c r="E11" s="124"/>
      <c r="F11" s="125"/>
      <c r="G11" s="16"/>
      <c r="H11" s="74"/>
      <c r="I11" s="74"/>
      <c r="J11" s="74"/>
      <c r="K11" s="75"/>
      <c r="L11" s="20"/>
      <c r="M11" s="83"/>
      <c r="N11" s="83"/>
      <c r="O11" s="83"/>
      <c r="P11" s="84"/>
      <c r="Q11" s="12"/>
      <c r="R11" s="124"/>
      <c r="S11" s="124"/>
      <c r="T11" s="124"/>
      <c r="U11" s="125"/>
    </row>
    <row r="12" spans="1:22" ht="12.75" customHeight="1" x14ac:dyDescent="0.25">
      <c r="B12" s="17"/>
      <c r="C12" s="18"/>
      <c r="D12" s="18"/>
      <c r="E12" s="18"/>
      <c r="F12" s="76"/>
      <c r="G12" s="100"/>
      <c r="H12" s="101"/>
      <c r="I12" s="101"/>
      <c r="J12" s="101"/>
      <c r="K12" s="102"/>
      <c r="L12" s="100"/>
      <c r="M12" s="101"/>
      <c r="N12" s="101"/>
      <c r="O12" s="101"/>
      <c r="P12" s="102"/>
      <c r="Q12" s="100"/>
      <c r="R12" s="101"/>
      <c r="S12" s="101"/>
      <c r="T12" s="101"/>
      <c r="U12" s="102"/>
    </row>
    <row r="13" spans="1:22" s="21" customFormat="1" ht="72" customHeight="1" x14ac:dyDescent="0.25">
      <c r="A13" s="138"/>
      <c r="B13" s="77"/>
      <c r="C13" s="78"/>
      <c r="D13" s="79" t="str">
        <f>'Cards Src'!$A10</f>
        <v>DIVINE JUDGEMENT</v>
      </c>
      <c r="E13" s="78"/>
      <c r="F13" s="80"/>
      <c r="G13" s="103"/>
      <c r="H13" s="104"/>
      <c r="I13" s="105" t="str">
        <f>'Cards Src'!A11</f>
        <v>HASTE</v>
      </c>
      <c r="J13" s="104"/>
      <c r="K13" s="106"/>
      <c r="L13" s="103"/>
      <c r="M13" s="104"/>
      <c r="N13" s="105" t="str">
        <f>'Cards Src'!A12</f>
        <v>HINDER</v>
      </c>
      <c r="O13" s="104"/>
      <c r="P13" s="106"/>
      <c r="Q13" s="103"/>
      <c r="R13" s="104"/>
      <c r="S13" s="114" t="str">
        <f>'Cards Src'!A13</f>
        <v>MULLIGAN</v>
      </c>
      <c r="T13" s="104"/>
      <c r="U13" s="106"/>
      <c r="V13" s="138"/>
    </row>
    <row r="14" spans="1:22" ht="184.5" customHeight="1" x14ac:dyDescent="0.25">
      <c r="B14" s="19"/>
      <c r="C14" s="144" t="e" vm="9">
        <f>'Cards Src'!E10</f>
        <v>#VALUE!</v>
      </c>
      <c r="D14" s="144"/>
      <c r="E14" s="144"/>
      <c r="F14" s="81"/>
      <c r="G14" s="107"/>
      <c r="H14" s="146" t="e" vm="10">
        <f>'Cards Src'!E11</f>
        <v>#VALUE!</v>
      </c>
      <c r="I14" s="146"/>
      <c r="J14" s="146"/>
      <c r="K14" s="108"/>
      <c r="L14" s="107"/>
      <c r="M14" s="139" t="e" vm="11">
        <f>'Cards Src'!E12</f>
        <v>#VALUE!</v>
      </c>
      <c r="N14" s="139"/>
      <c r="O14" s="139"/>
      <c r="P14" s="108"/>
      <c r="Q14" s="107"/>
      <c r="R14" s="139" t="e" vm="12">
        <f xml:space="preserve"> 'Cards Src'!E13</f>
        <v>#VALUE!</v>
      </c>
      <c r="S14" s="139"/>
      <c r="T14" s="139"/>
      <c r="U14" s="108"/>
    </row>
    <row r="15" spans="1:22" ht="93" customHeight="1" x14ac:dyDescent="0.25">
      <c r="B15" s="19"/>
      <c r="C15" s="145" t="str">
        <f>'Cards Src'!$C10</f>
        <v>Creates an area on the ground that damages to enemies within it. Mark any enemy to deal damage to the enemy proportional to the time spent once finishes</v>
      </c>
      <c r="D15" s="145"/>
      <c r="E15" s="145"/>
      <c r="F15" s="82"/>
      <c r="G15" s="107"/>
      <c r="H15" s="140" t="str">
        <f>'Cards Src'!$C11</f>
        <v>Increases player movement speed for a set duration</v>
      </c>
      <c r="I15" s="140"/>
      <c r="J15" s="140"/>
      <c r="K15" s="110"/>
      <c r="L15" s="107"/>
      <c r="M15" s="140" t="str">
        <f>'Cards Src'!C12</f>
        <v>Enemies are temporarily slowed on hit for a set duration.</v>
      </c>
      <c r="N15" s="140"/>
      <c r="O15" s="140"/>
      <c r="P15" s="110"/>
      <c r="Q15" s="107"/>
      <c r="R15" s="140" t="str">
        <f>'Cards Src'!C13</f>
        <v>Randomly swap two cards in the current hand with cards in the deck</v>
      </c>
      <c r="S15" s="140"/>
      <c r="T15" s="140"/>
      <c r="U15" s="110"/>
    </row>
    <row r="16" spans="1:22" ht="30" customHeight="1" thickBot="1" x14ac:dyDescent="0.3">
      <c r="B16" s="20"/>
      <c r="C16" s="83"/>
      <c r="D16" s="83"/>
      <c r="E16" s="83"/>
      <c r="F16" s="84"/>
      <c r="G16" s="111"/>
      <c r="H16" s="112"/>
      <c r="I16" s="112"/>
      <c r="J16" s="112"/>
      <c r="K16" s="113"/>
      <c r="L16" s="111"/>
      <c r="M16" s="112"/>
      <c r="N16" s="112"/>
      <c r="O16" s="112"/>
      <c r="P16" s="113"/>
      <c r="Q16" s="111"/>
      <c r="R16" s="112"/>
      <c r="S16" s="112"/>
      <c r="T16" s="112"/>
      <c r="U16" s="113"/>
    </row>
    <row r="17" spans="1:22" ht="12.75" customHeight="1" x14ac:dyDescent="0.2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  <c r="Q17" s="100"/>
      <c r="R17" s="101"/>
      <c r="S17" s="101"/>
      <c r="T17" s="101"/>
      <c r="U17" s="102"/>
    </row>
    <row r="18" spans="1:22" s="21" customFormat="1" ht="72" customHeight="1" x14ac:dyDescent="0.25">
      <c r="A18" s="138"/>
      <c r="B18" s="103"/>
      <c r="C18" s="104"/>
      <c r="D18" s="109" t="str">
        <f>'Cards Src'!$A14</f>
        <v>BUT WAIT, THERE'S MORE</v>
      </c>
      <c r="E18" s="104"/>
      <c r="F18" s="106"/>
      <c r="G18" s="103"/>
      <c r="H18" s="104"/>
      <c r="I18" s="115" t="str">
        <f>'Cards Src'!A15</f>
        <v>MANA SHIELD</v>
      </c>
      <c r="J18" s="104"/>
      <c r="K18" s="106"/>
      <c r="L18" s="103"/>
      <c r="M18" s="104"/>
      <c r="N18" s="115" t="str">
        <f>'Cards Src'!A16</f>
        <v>RUNAWAY BULL</v>
      </c>
      <c r="O18" s="104"/>
      <c r="P18" s="106"/>
      <c r="Q18" s="103"/>
      <c r="R18" s="104"/>
      <c r="S18" s="128" t="str">
        <f>'Cards Src'!A17</f>
        <v>HOLY BLADE</v>
      </c>
      <c r="T18" s="104"/>
      <c r="U18" s="106"/>
      <c r="V18" s="138"/>
    </row>
    <row r="19" spans="1:22" ht="184.5" customHeight="1" x14ac:dyDescent="0.25">
      <c r="B19" s="107"/>
      <c r="C19" s="139" t="e" vm="13">
        <f>'Cards Src'!E14</f>
        <v>#VALUE!</v>
      </c>
      <c r="D19" s="139"/>
      <c r="E19" s="139"/>
      <c r="F19" s="108"/>
      <c r="G19" s="107"/>
      <c r="H19" s="139" t="e" vm="14">
        <f>'Cards Src'!E15</f>
        <v>#VALUE!</v>
      </c>
      <c r="I19" s="139"/>
      <c r="J19" s="139"/>
      <c r="K19" s="108"/>
      <c r="L19" s="107"/>
      <c r="M19" s="139" t="e" vm="15">
        <f>'Cards Src'!E16</f>
        <v>#VALUE!</v>
      </c>
      <c r="N19" s="139"/>
      <c r="O19" s="139"/>
      <c r="P19" s="108"/>
      <c r="Q19" s="107"/>
      <c r="R19" s="139" t="e" vm="16">
        <f xml:space="preserve"> 'Cards Src'!E17</f>
        <v>#VALUE!</v>
      </c>
      <c r="S19" s="139"/>
      <c r="T19" s="139"/>
      <c r="U19" s="108"/>
    </row>
    <row r="20" spans="1:22" ht="93" customHeight="1" x14ac:dyDescent="0.25">
      <c r="B20" s="107"/>
      <c r="C20" s="140" t="str">
        <f>'Cards Src'!$C14</f>
        <v>Randomly shuffle two cards from the discard pile back into the deck</v>
      </c>
      <c r="D20" s="140"/>
      <c r="E20" s="140"/>
      <c r="F20" s="110"/>
      <c r="G20" s="107"/>
      <c r="H20" s="140" t="str">
        <f>'Cards Src'!$C15</f>
        <v>Negate x number of hits</v>
      </c>
      <c r="I20" s="140"/>
      <c r="J20" s="140"/>
      <c r="K20" s="110"/>
      <c r="L20" s="107"/>
      <c r="M20" s="143" t="str">
        <f>'Cards Src'!C16</f>
        <v>For a temporary amount of time, causes the player's dashes to push enemies away slightly and inflict damage</v>
      </c>
      <c r="N20" s="143"/>
      <c r="O20" s="143"/>
      <c r="P20" s="110"/>
      <c r="Q20" s="107"/>
      <c r="R20" s="140" t="str">
        <f>'Cards Src'!C17</f>
        <v>Increase damage of your weapon by x for a certain amount of time</v>
      </c>
      <c r="S20" s="140"/>
      <c r="T20" s="140"/>
      <c r="U20" s="110"/>
    </row>
    <row r="21" spans="1:22" ht="30" customHeight="1" thickBot="1" x14ac:dyDescent="0.3">
      <c r="B21" s="111"/>
      <c r="C21" s="112"/>
      <c r="D21" s="112"/>
      <c r="E21" s="112"/>
      <c r="F21" s="113"/>
      <c r="G21" s="111"/>
      <c r="H21" s="112"/>
      <c r="I21" s="112"/>
      <c r="J21" s="112"/>
      <c r="K21" s="113"/>
      <c r="L21" s="111"/>
      <c r="M21" s="112"/>
      <c r="N21" s="112"/>
      <c r="O21" s="112"/>
      <c r="P21" s="113"/>
      <c r="Q21" s="111"/>
      <c r="R21" s="112"/>
      <c r="S21" s="112"/>
      <c r="T21" s="112"/>
      <c r="U21" s="113"/>
    </row>
    <row r="22" spans="1:22" ht="12.75" customHeight="1" x14ac:dyDescent="0.25">
      <c r="B22" s="100"/>
      <c r="C22" s="101"/>
      <c r="D22" s="101"/>
      <c r="E22" s="101"/>
      <c r="F22" s="102"/>
      <c r="G22" s="100"/>
      <c r="H22" s="101"/>
      <c r="I22" s="101"/>
      <c r="J22" s="101"/>
      <c r="K22" s="102"/>
      <c r="L22" s="87"/>
      <c r="M22" s="88"/>
      <c r="N22" s="88"/>
      <c r="O22" s="88"/>
      <c r="P22" s="89"/>
      <c r="Q22" s="87"/>
      <c r="R22" s="88"/>
      <c r="S22" s="88"/>
      <c r="T22" s="88"/>
      <c r="U22" s="89"/>
    </row>
    <row r="23" spans="1:22" s="21" customFormat="1" ht="72" customHeight="1" x14ac:dyDescent="0.25">
      <c r="A23" s="138"/>
      <c r="B23" s="103"/>
      <c r="C23" s="104"/>
      <c r="D23" s="105" t="str">
        <f>'Cards Src'!$A18</f>
        <v>RECALL</v>
      </c>
      <c r="E23" s="104"/>
      <c r="F23" s="106"/>
      <c r="G23" s="103"/>
      <c r="H23" s="104"/>
      <c r="I23" s="105" t="str">
        <f>'Cards Src'!A19</f>
        <v>GREED</v>
      </c>
      <c r="J23" s="104"/>
      <c r="K23" s="106"/>
      <c r="L23" s="90"/>
      <c r="M23" s="91"/>
      <c r="N23" s="92">
        <f>'Cards Src'!A20</f>
        <v>0</v>
      </c>
      <c r="O23" s="91"/>
      <c r="P23" s="93"/>
      <c r="Q23" s="90"/>
      <c r="R23" s="91"/>
      <c r="S23" s="92">
        <f>'Cards Src'!A21</f>
        <v>0</v>
      </c>
      <c r="T23" s="91"/>
      <c r="U23" s="93"/>
      <c r="V23" s="138"/>
    </row>
    <row r="24" spans="1:22" ht="184.5" customHeight="1" x14ac:dyDescent="0.25">
      <c r="B24" s="107"/>
      <c r="C24" s="139" t="e" vm="17">
        <f>'Cards Src'!E18</f>
        <v>#VALUE!</v>
      </c>
      <c r="D24" s="139"/>
      <c r="E24" s="139"/>
      <c r="F24" s="108"/>
      <c r="G24" s="107"/>
      <c r="H24" s="139" t="e" vm="18">
        <f>'Cards Src'!E19</f>
        <v>#VALUE!</v>
      </c>
      <c r="I24" s="139"/>
      <c r="J24" s="139"/>
      <c r="K24" s="108"/>
      <c r="L24" s="94"/>
      <c r="M24" s="142">
        <f>'Cards Src'!E20</f>
        <v>0</v>
      </c>
      <c r="N24" s="142"/>
      <c r="O24" s="142"/>
      <c r="P24" s="95"/>
      <c r="Q24" s="94"/>
      <c r="R24" s="142">
        <f xml:space="preserve"> 'Cards Src'!E21</f>
        <v>0</v>
      </c>
      <c r="S24" s="142"/>
      <c r="T24" s="142"/>
      <c r="U24" s="95"/>
    </row>
    <row r="25" spans="1:22" ht="93" customHeight="1" x14ac:dyDescent="0.25">
      <c r="B25" s="107"/>
      <c r="C25" s="140" t="str">
        <f>'Cards Src'!$C18</f>
        <v>Recall last used card into deck</v>
      </c>
      <c r="D25" s="140"/>
      <c r="E25" s="140"/>
      <c r="F25" s="110"/>
      <c r="G25" s="107"/>
      <c r="H25" s="140" t="str">
        <f>'Cards Src'!$C19</f>
        <v>Draw 2 cards</v>
      </c>
      <c r="I25" s="140"/>
      <c r="J25" s="140"/>
      <c r="K25" s="110"/>
      <c r="L25" s="94"/>
      <c r="M25" s="141">
        <f>'Cards Src'!C20</f>
        <v>0</v>
      </c>
      <c r="N25" s="141"/>
      <c r="O25" s="141"/>
      <c r="P25" s="96"/>
      <c r="Q25" s="94"/>
      <c r="R25" s="141">
        <f>'Cards Src'!C21</f>
        <v>0</v>
      </c>
      <c r="S25" s="141"/>
      <c r="T25" s="141"/>
      <c r="U25" s="96"/>
    </row>
    <row r="26" spans="1:22" ht="30" customHeight="1" thickBot="1" x14ac:dyDescent="0.3">
      <c r="B26" s="111"/>
      <c r="C26" s="112"/>
      <c r="D26" s="112"/>
      <c r="E26" s="112"/>
      <c r="F26" s="113"/>
      <c r="G26" s="111"/>
      <c r="H26" s="112"/>
      <c r="I26" s="112"/>
      <c r="J26" s="112"/>
      <c r="K26" s="113"/>
      <c r="L26" s="97"/>
      <c r="M26" s="98"/>
      <c r="N26" s="98"/>
      <c r="O26" s="98"/>
      <c r="P26" s="99"/>
      <c r="Q26" s="97"/>
      <c r="R26" s="98"/>
      <c r="S26" s="98"/>
      <c r="T26" s="98"/>
      <c r="U26" s="99"/>
    </row>
    <row r="27" spans="1:22" s="137" customFormat="1" x14ac:dyDescent="0.25"/>
  </sheetData>
  <mergeCells count="40">
    <mergeCell ref="C4:E4"/>
    <mergeCell ref="C5:E5"/>
    <mergeCell ref="H5:J5"/>
    <mergeCell ref="M5:O5"/>
    <mergeCell ref="R5:T5"/>
    <mergeCell ref="H4:J4"/>
    <mergeCell ref="M4:O4"/>
    <mergeCell ref="R4:T4"/>
    <mergeCell ref="C9:E9"/>
    <mergeCell ref="C10:E10"/>
    <mergeCell ref="H10:J10"/>
    <mergeCell ref="M10:O10"/>
    <mergeCell ref="R10:T10"/>
    <mergeCell ref="H9:J9"/>
    <mergeCell ref="M9:O9"/>
    <mergeCell ref="R9:T9"/>
    <mergeCell ref="C14:E14"/>
    <mergeCell ref="C15:E15"/>
    <mergeCell ref="H15:J15"/>
    <mergeCell ref="M15:O15"/>
    <mergeCell ref="R15:T15"/>
    <mergeCell ref="H14:J14"/>
    <mergeCell ref="M14:O14"/>
    <mergeCell ref="R14:T14"/>
    <mergeCell ref="C19:E19"/>
    <mergeCell ref="C20:E20"/>
    <mergeCell ref="H20:J20"/>
    <mergeCell ref="M20:O20"/>
    <mergeCell ref="R20:T20"/>
    <mergeCell ref="H19:J19"/>
    <mergeCell ref="M19:O19"/>
    <mergeCell ref="R19:T19"/>
    <mergeCell ref="C24:E24"/>
    <mergeCell ref="C25:E25"/>
    <mergeCell ref="H25:J25"/>
    <mergeCell ref="M25:O25"/>
    <mergeCell ref="R25:T25"/>
    <mergeCell ref="H24:J24"/>
    <mergeCell ref="M24:O24"/>
    <mergeCell ref="R24:T2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K5" sqref="K5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L8"/>
  <sheetViews>
    <sheetView showGridLines="0" zoomScaleNormal="100" workbookViewId="0">
      <selection activeCell="E1" sqref="E1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12" width="13.85546875" customWidth="1"/>
  </cols>
  <sheetData>
    <row r="1" spans="1:12" ht="98.25" customHeight="1" x14ac:dyDescent="0.25">
      <c r="A1" s="21" t="s">
        <v>1</v>
      </c>
      <c r="C1" s="130"/>
      <c r="D1" s="21" t="e" vm="64">
        <v>#VALUE!</v>
      </c>
      <c r="E1" t="e" vm="65">
        <v>#VALUE!</v>
      </c>
      <c r="F1" s="21" t="e" vm="66">
        <v>#VALUE!</v>
      </c>
      <c r="G1" t="e" vm="67">
        <v>#VALUE!</v>
      </c>
      <c r="H1" s="21" t="e" vm="68">
        <v>#VALUE!</v>
      </c>
      <c r="I1" t="e" vm="69">
        <v>#VALUE!</v>
      </c>
      <c r="J1" s="21"/>
      <c r="K1" s="21"/>
      <c r="L1" s="21"/>
    </row>
    <row r="2" spans="1:12" ht="393" customHeight="1" x14ac:dyDescent="0.25">
      <c r="A2" t="e" vm="70">
        <v>#VALUE!</v>
      </c>
      <c r="C2" s="131" t="e" vm="71">
        <v>#VALUE!</v>
      </c>
    </row>
    <row r="3" spans="1:12" ht="50.1" customHeight="1" x14ac:dyDescent="0.25">
      <c r="A3" s="21" t="s">
        <v>55</v>
      </c>
      <c r="C3" s="130"/>
      <c r="D3" s="21"/>
      <c r="E3" s="21"/>
      <c r="F3" s="21"/>
      <c r="G3" s="21"/>
      <c r="H3" s="21"/>
      <c r="I3" s="21"/>
      <c r="J3" s="21"/>
      <c r="K3" s="21"/>
      <c r="L3" s="21"/>
    </row>
    <row r="4" spans="1:12" ht="393" customHeight="1" x14ac:dyDescent="0.25">
      <c r="A4" t="e" vm="72">
        <v>#VALUE!</v>
      </c>
      <c r="C4" s="131" t="e" vm="73">
        <v>#VALUE!</v>
      </c>
    </row>
    <row r="5" spans="1:12" ht="50.1" customHeight="1" x14ac:dyDescent="0.25">
      <c r="A5" s="21" t="s">
        <v>54</v>
      </c>
      <c r="C5" s="130"/>
      <c r="D5" s="21"/>
      <c r="E5" s="21"/>
      <c r="F5" s="21"/>
      <c r="G5" s="21"/>
      <c r="H5" s="21"/>
      <c r="I5" s="21"/>
      <c r="J5" s="21"/>
      <c r="K5" s="21"/>
      <c r="L5" s="21"/>
    </row>
    <row r="6" spans="1:12" ht="393" customHeight="1" x14ac:dyDescent="0.25">
      <c r="A6" t="e" vm="74">
        <v>#VALUE!</v>
      </c>
      <c r="C6" s="131" t="e" vm="75">
        <v>#VALUE!</v>
      </c>
    </row>
    <row r="7" spans="1:12" ht="50.1" customHeight="1" x14ac:dyDescent="0.25">
      <c r="A7" s="21" t="s">
        <v>58</v>
      </c>
      <c r="C7" s="130"/>
      <c r="D7" s="21"/>
      <c r="E7" s="21"/>
      <c r="F7" s="21"/>
      <c r="G7" s="21"/>
      <c r="H7" s="21"/>
      <c r="I7" s="21"/>
      <c r="J7" s="21"/>
      <c r="K7" s="21"/>
      <c r="L7" s="21"/>
    </row>
    <row r="8" spans="1:12" ht="393" customHeight="1" x14ac:dyDescent="0.25">
      <c r="A8" t="e" vm="76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2026-03-11T19:54:30Z</dcterms:modified>
</cp:coreProperties>
</file>