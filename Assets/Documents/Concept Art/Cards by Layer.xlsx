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6E009630-33D3-48EC-B42E-2C28DA2C7D4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</futureMetadata>
  <valueMetadata count="6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</valueMetadata>
</metadata>
</file>

<file path=xl/sharedStrings.xml><?xml version="1.0" encoding="utf-8"?>
<sst xmlns="http://schemas.openxmlformats.org/spreadsheetml/2006/main" count="110" uniqueCount="58">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</sst>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1" borderId="0" xfId="0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2" Type="http://schemas.openxmlformats.org/officeDocument/2006/relationships/image" Target="../media/image53.emf"/><Relationship Id="rId16" Type="http://schemas.openxmlformats.org/officeDocument/2006/relationships/image" Target="../media/image67.emf"/><Relationship Id="rId1" Type="http://schemas.openxmlformats.org/officeDocument/2006/relationships/image" Target="../media/image52.emf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png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5.emf"/><Relationship Id="rId13" Type="http://schemas.openxmlformats.org/officeDocument/2006/relationships/image" Target="../media/image80.emf"/><Relationship Id="rId3" Type="http://schemas.openxmlformats.org/officeDocument/2006/relationships/image" Target="../media/image70.emf"/><Relationship Id="rId7" Type="http://schemas.openxmlformats.org/officeDocument/2006/relationships/image" Target="../media/image74.emf"/><Relationship Id="rId12" Type="http://schemas.openxmlformats.org/officeDocument/2006/relationships/image" Target="../media/image79.emf"/><Relationship Id="rId2" Type="http://schemas.openxmlformats.org/officeDocument/2006/relationships/image" Target="../media/image69.emf"/><Relationship Id="rId1" Type="http://schemas.openxmlformats.org/officeDocument/2006/relationships/image" Target="../media/image68.emf"/><Relationship Id="rId6" Type="http://schemas.openxmlformats.org/officeDocument/2006/relationships/image" Target="../media/image73.emf"/><Relationship Id="rId11" Type="http://schemas.openxmlformats.org/officeDocument/2006/relationships/image" Target="../media/image78.emf"/><Relationship Id="rId5" Type="http://schemas.openxmlformats.org/officeDocument/2006/relationships/image" Target="../media/image72.emf"/><Relationship Id="rId10" Type="http://schemas.openxmlformats.org/officeDocument/2006/relationships/image" Target="../media/image77.emf"/><Relationship Id="rId4" Type="http://schemas.openxmlformats.org/officeDocument/2006/relationships/image" Target="../media/image71.emf"/><Relationship Id="rId9" Type="http://schemas.openxmlformats.org/officeDocument/2006/relationships/image" Target="../media/image7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3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36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37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38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39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0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1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2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3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4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5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6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7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8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49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0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1"/>
                </a:ext>
              </a:extLst>
            </xdr:cNvPicPr>
          </xdr:nvPicPr>
          <xdr:blipFill>
            <a:blip xmlns:r="http://schemas.openxmlformats.org/officeDocument/2006/relationships" r:embed="rId16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9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M4" sqref="M4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50" t="e" vm="1">
        <f>'Cards Src'!E2</f>
        <v>#VALUE!</v>
      </c>
      <c r="D4" s="150"/>
      <c r="E4" s="150"/>
      <c r="F4" s="42"/>
      <c r="H4" s="53"/>
      <c r="I4" s="155" t="e" vm="2">
        <f>'Cards Src'!E3</f>
        <v>#VALUE!</v>
      </c>
      <c r="J4" s="155"/>
      <c r="K4" s="155"/>
      <c r="L4" s="54"/>
      <c r="N4" s="116"/>
      <c r="O4" s="156" t="e" vm="3">
        <f>'Cards Src'!E4</f>
        <v>#VALUE!</v>
      </c>
      <c r="P4" s="156"/>
      <c r="Q4" s="156"/>
      <c r="R4" s="64"/>
      <c r="T4" s="7"/>
      <c r="U4" s="157" t="e" vm="4">
        <f xml:space="preserve"> 'Cards Src'!E5</f>
        <v>#VALUE!</v>
      </c>
      <c r="V4" s="157"/>
      <c r="W4" s="157"/>
      <c r="X4" s="29"/>
    </row>
    <row r="5" spans="2:24" ht="93" customHeight="1" x14ac:dyDescent="0.25">
      <c r="B5" s="41"/>
      <c r="C5" s="151" t="str">
        <f>'Cards Src'!$C2</f>
        <v>Deals damage on contact. Explodes against surfaces</v>
      </c>
      <c r="D5" s="151"/>
      <c r="E5" s="151"/>
      <c r="F5" s="43"/>
      <c r="H5" s="53"/>
      <c r="I5" s="152" t="str">
        <f>'Cards Src'!$C3</f>
        <v>Explodes on contact and freezes enemies. Frozen enemies take 1.5x damage</v>
      </c>
      <c r="J5" s="152"/>
      <c r="K5" s="152"/>
      <c r="L5" s="55"/>
      <c r="N5" s="3"/>
      <c r="O5" s="153" t="str">
        <f>'Cards Src'!C4</f>
        <v>Summons a wave that pushes back all enemies it hits, accumulating damage</v>
      </c>
      <c r="P5" s="153"/>
      <c r="Q5" s="153"/>
      <c r="R5" s="65"/>
      <c r="T5" s="7"/>
      <c r="U5" s="154" t="str">
        <f>'Cards Src'!C5</f>
        <v>Creates a trap area that slows + damages enemies as they move through it</v>
      </c>
      <c r="V5" s="154"/>
      <c r="W5" s="154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5" t="e" vm="5">
        <f>'Cards Src'!E6</f>
        <v>#VALUE!</v>
      </c>
      <c r="D10" s="145"/>
      <c r="E10" s="145"/>
      <c r="F10" s="126"/>
      <c r="H10" s="15"/>
      <c r="I10" s="149" t="e" vm="6">
        <f>'Cards Src'!E7</f>
        <v>#VALUE!</v>
      </c>
      <c r="J10" s="149"/>
      <c r="K10" s="149"/>
      <c r="L10" s="72"/>
      <c r="N10" s="19"/>
      <c r="O10" s="142" t="e" vm="7">
        <f>'Cards Src'!E8</f>
        <v>#VALUE!</v>
      </c>
      <c r="P10" s="142"/>
      <c r="Q10" s="142"/>
      <c r="R10" s="81"/>
      <c r="T10" s="11"/>
      <c r="U10" s="145" t="e" vm="8">
        <f>'Cards Src'!E9</f>
        <v>#VALUE!</v>
      </c>
      <c r="V10" s="145"/>
      <c r="W10" s="145"/>
      <c r="X10" s="122"/>
    </row>
    <row r="11" spans="2:24" ht="93" customHeight="1" x14ac:dyDescent="0.25">
      <c r="B11" s="11"/>
      <c r="C11" s="146" t="str">
        <f>'Cards Src'!$C6</f>
        <v>Casts a bolt of lightning</v>
      </c>
      <c r="D11" s="146"/>
      <c r="E11" s="146"/>
      <c r="F11" s="123"/>
      <c r="H11" s="15"/>
      <c r="I11" s="147" t="str">
        <f>'Cards Src'!$C7</f>
        <v>Vacuums in nearby enemies</v>
      </c>
      <c r="J11" s="147"/>
      <c r="K11" s="147"/>
      <c r="L11" s="73"/>
      <c r="N11" s="19"/>
      <c r="O11" s="148" t="str">
        <f>'Cards Src'!C8</f>
        <v>Flies to the nearest enemy in vision</v>
      </c>
      <c r="P11" s="148"/>
      <c r="Q11" s="148"/>
      <c r="R11" s="82"/>
      <c r="T11" s="11"/>
      <c r="U11" s="146" t="str">
        <f>'Cards Src'!C9</f>
        <v>Casts a tracking bolt of lightning that can chain to close enemies</v>
      </c>
      <c r="V11" s="146"/>
      <c r="W11" s="146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42" t="e" vm="9">
        <f>'Cards Src'!E10</f>
        <v>#VALUE!</v>
      </c>
      <c r="D16" s="142"/>
      <c r="E16" s="142"/>
      <c r="F16" s="81"/>
      <c r="H16" s="107"/>
      <c r="I16" s="144" t="e" vm="10">
        <f>'Cards Src'!E11</f>
        <v>#VALUE!</v>
      </c>
      <c r="J16" s="144"/>
      <c r="K16" s="144"/>
      <c r="L16" s="108"/>
      <c r="N16" s="107"/>
      <c r="O16" s="137" t="e" vm="11">
        <f>'Cards Src'!E12</f>
        <v>#VALUE!</v>
      </c>
      <c r="P16" s="137"/>
      <c r="Q16" s="137"/>
      <c r="R16" s="108"/>
      <c r="T16" s="107"/>
      <c r="U16" s="137" t="e" vm="12">
        <f xml:space="preserve"> 'Cards Src'!E13</f>
        <v>#VALUE!</v>
      </c>
      <c r="V16" s="137"/>
      <c r="W16" s="137"/>
      <c r="X16" s="108"/>
    </row>
    <row r="17" spans="2:24" ht="93" customHeight="1" x14ac:dyDescent="0.25">
      <c r="B17" s="19"/>
      <c r="C17" s="143" t="str">
        <f>'Cards Src'!$C10</f>
        <v>Creates an area on the ground that damages to enemies within it. Mark any enemy to deal damage to the enemy proportional to the time spent once finishes</v>
      </c>
      <c r="D17" s="143"/>
      <c r="E17" s="143"/>
      <c r="F17" s="82"/>
      <c r="H17" s="107"/>
      <c r="I17" s="138" t="str">
        <f>'Cards Src'!$C11</f>
        <v>Increases player movement speed for a set duration</v>
      </c>
      <c r="J17" s="138"/>
      <c r="K17" s="138"/>
      <c r="L17" s="110"/>
      <c r="N17" s="107"/>
      <c r="O17" s="138" t="str">
        <f>'Cards Src'!C12</f>
        <v>Enemies are temporarily slowed on hit for a set duration.</v>
      </c>
      <c r="P17" s="138"/>
      <c r="Q17" s="138"/>
      <c r="R17" s="110"/>
      <c r="T17" s="107"/>
      <c r="U17" s="138" t="str">
        <f>'Cards Src'!C13</f>
        <v>Randomly swap two cards in the current hand with cards in the deck</v>
      </c>
      <c r="V17" s="138"/>
      <c r="W17" s="138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37" t="e" vm="13">
        <f>'Cards Src'!E14</f>
        <v>#VALUE!</v>
      </c>
      <c r="D22" s="137"/>
      <c r="E22" s="137"/>
      <c r="F22" s="108"/>
      <c r="H22" s="107"/>
      <c r="I22" s="137" t="e" vm="14">
        <f>'Cards Src'!E15</f>
        <v>#VALUE!</v>
      </c>
      <c r="J22" s="137"/>
      <c r="K22" s="137"/>
      <c r="L22" s="108"/>
      <c r="N22" s="107"/>
      <c r="O22" s="137" t="e" vm="15">
        <f>'Cards Src'!E16</f>
        <v>#VALUE!</v>
      </c>
      <c r="P22" s="137"/>
      <c r="Q22" s="137"/>
      <c r="R22" s="108"/>
      <c r="T22" s="107"/>
      <c r="U22" s="137" t="e" vm="16">
        <f xml:space="preserve"> 'Cards Src'!E17</f>
        <v>#VALUE!</v>
      </c>
      <c r="V22" s="137"/>
      <c r="W22" s="137"/>
      <c r="X22" s="108"/>
    </row>
    <row r="23" spans="2:24" ht="93" customHeight="1" x14ac:dyDescent="0.25">
      <c r="B23" s="107"/>
      <c r="C23" s="138" t="str">
        <f>'Cards Src'!$C14</f>
        <v>Randomly shuffle two cards from the discard pile back into the deck</v>
      </c>
      <c r="D23" s="138"/>
      <c r="E23" s="138"/>
      <c r="F23" s="110"/>
      <c r="H23" s="107"/>
      <c r="I23" s="138" t="str">
        <f>'Cards Src'!$C15</f>
        <v>Negate x number of hits</v>
      </c>
      <c r="J23" s="138"/>
      <c r="K23" s="138"/>
      <c r="L23" s="110"/>
      <c r="N23" s="107"/>
      <c r="O23" s="141" t="str">
        <f>'Cards Src'!C16</f>
        <v>For a temporary amount of time, causes the player's dashes to push enemies away slightly and inflict damage</v>
      </c>
      <c r="P23" s="141"/>
      <c r="Q23" s="141"/>
      <c r="R23" s="110"/>
      <c r="T23" s="107"/>
      <c r="U23" s="138" t="str">
        <f>'Cards Src'!C17</f>
        <v>Increase damage of your weapon by x for a certain amount of time</v>
      </c>
      <c r="V23" s="138"/>
      <c r="W23" s="138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37" t="e" vm="17">
        <f>'Cards Src'!E18</f>
        <v>#VALUE!</v>
      </c>
      <c r="D28" s="137"/>
      <c r="E28" s="137"/>
      <c r="F28" s="108"/>
      <c r="H28" s="107"/>
      <c r="I28" s="137" t="e" vm="18">
        <f>'Cards Src'!E19</f>
        <v>#VALUE!</v>
      </c>
      <c r="J28" s="137"/>
      <c r="K28" s="137"/>
      <c r="L28" s="108"/>
      <c r="N28" s="94"/>
      <c r="O28" s="140">
        <f>'Cards Src'!E20</f>
        <v>0</v>
      </c>
      <c r="P28" s="140"/>
      <c r="Q28" s="140"/>
      <c r="R28" s="95"/>
      <c r="T28" s="94"/>
      <c r="U28" s="140">
        <f xml:space="preserve"> 'Cards Src'!E21</f>
        <v>0</v>
      </c>
      <c r="V28" s="140"/>
      <c r="W28" s="140"/>
      <c r="X28" s="95"/>
    </row>
    <row r="29" spans="2:24" ht="93" customHeight="1" x14ac:dyDescent="0.25">
      <c r="B29" s="107"/>
      <c r="C29" s="138" t="str">
        <f>'Cards Src'!$C18</f>
        <v>Recall last used card into deck</v>
      </c>
      <c r="D29" s="138"/>
      <c r="E29" s="138"/>
      <c r="F29" s="110"/>
      <c r="H29" s="107"/>
      <c r="I29" s="138" t="str">
        <f>'Cards Src'!$C19</f>
        <v>Draw 2 cards</v>
      </c>
      <c r="J29" s="138"/>
      <c r="K29" s="138"/>
      <c r="L29" s="110"/>
      <c r="N29" s="94"/>
      <c r="O29" s="139">
        <f>'Cards Src'!C20</f>
        <v>0</v>
      </c>
      <c r="P29" s="139"/>
      <c r="Q29" s="139"/>
      <c r="R29" s="96"/>
      <c r="T29" s="94"/>
      <c r="U29" s="139">
        <f>'Cards Src'!C21</f>
        <v>0</v>
      </c>
      <c r="V29" s="139"/>
      <c r="W29" s="139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4:E4"/>
    <mergeCell ref="C5:E5"/>
    <mergeCell ref="I5:K5"/>
    <mergeCell ref="O5:Q5"/>
    <mergeCell ref="U5:W5"/>
    <mergeCell ref="I4:K4"/>
    <mergeCell ref="O4:Q4"/>
    <mergeCell ref="U4:W4"/>
    <mergeCell ref="C10:E10"/>
    <mergeCell ref="C11:E11"/>
    <mergeCell ref="I11:K11"/>
    <mergeCell ref="O11:Q11"/>
    <mergeCell ref="U11:W11"/>
    <mergeCell ref="I10:K10"/>
    <mergeCell ref="O10:Q10"/>
    <mergeCell ref="U10:W10"/>
    <mergeCell ref="C16:E16"/>
    <mergeCell ref="C17:E17"/>
    <mergeCell ref="I17:K17"/>
    <mergeCell ref="O17:Q17"/>
    <mergeCell ref="U17:W17"/>
    <mergeCell ref="I16:K16"/>
    <mergeCell ref="O16:Q16"/>
    <mergeCell ref="U16:W16"/>
    <mergeCell ref="C22:E22"/>
    <mergeCell ref="C23:E23"/>
    <mergeCell ref="I23:K23"/>
    <mergeCell ref="O23:Q23"/>
    <mergeCell ref="U23:W23"/>
    <mergeCell ref="I22:K22"/>
    <mergeCell ref="O22:Q22"/>
    <mergeCell ref="U22:W22"/>
    <mergeCell ref="C28:E28"/>
    <mergeCell ref="C29:E29"/>
    <mergeCell ref="I29:K29"/>
    <mergeCell ref="O29:Q29"/>
    <mergeCell ref="U29:W29"/>
    <mergeCell ref="I28:K28"/>
    <mergeCell ref="O28:Q28"/>
    <mergeCell ref="U28:W28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J3" sqref="J3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D32" sqref="D3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topLeftCell="A2" zoomScaleNormal="100" workbookViewId="0">
      <selection activeCell="C4" sqref="C4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2026-03-03T20:26:28Z</dcterms:modified>
</cp:coreProperties>
</file>