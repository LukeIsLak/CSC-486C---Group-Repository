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624D6D19-4854-444C-9636-E7A1BD3665B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  <c r="C4" i="15"/>
  <c r="C5" i="15"/>
  <c r="U29" i="15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U5" i="15"/>
  <c r="O5" i="15"/>
  <c r="V3" i="15"/>
  <c r="P3" i="15"/>
  <c r="I5" i="15"/>
  <c r="J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</futureMetadata>
  <valueMetadata count="5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</valueMetadata>
</metadata>
</file>

<file path=xl/sharedStrings.xml><?xml version="1.0" encoding="utf-8"?>
<sst xmlns="http://schemas.openxmlformats.org/spreadsheetml/2006/main" count="109" uniqueCount="57">
  <si>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</si>
  <si>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</si>
  <si>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</si>
  <si>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</si>
  <si>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</si>
  <si>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</si>
  <si>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</si>
  <si>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</si>
  <si>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</si>
  <si>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</si>
  <si>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</si>
  <si>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</si>
  <si>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</si>
  <si>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</si>
  <si>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</si>
  <si>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</si>
  <si>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</si>
  <si>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</si>
  <si>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</si>
  <si>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</si>
  <si>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</si>
  <si>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</si>
  <si>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</si>
  <si>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</si>
  <si>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</si>
  <si>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</si>
  <si>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</si>
  <si>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</si>
  <si>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</si>
  <si>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</si>
  <si>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</si>
  <si>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</si>
  <si>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</si>
  <si>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</si>
  <si>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</si>
  <si>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</si>
  <si>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</si>
  <si>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</si>
  <si>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</si>
  <si>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</si>
  <si>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</si>
  <si>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</si>
  <si>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</si>
  <si>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</si>
  <si>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</si>
  <si>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</si>
  <si>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</si>
  <si>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</si>
  <si>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</si>
  <si>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</si>
  <si>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</si>
  <si>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</si>
  <si>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</si>
  <si>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</si>
  <si>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Cards</t>
  </si>
  <si>
    <t>Backsides</t>
  </si>
  <si>
    <t>Borders (No Frame)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</si>
</sst>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Border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0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2.emf"/><Relationship Id="rId13" Type="http://schemas.openxmlformats.org/officeDocument/2006/relationships/image" Target="../media/image47.emf"/><Relationship Id="rId3" Type="http://schemas.openxmlformats.org/officeDocument/2006/relationships/image" Target="../media/image37.emf"/><Relationship Id="rId7" Type="http://schemas.openxmlformats.org/officeDocument/2006/relationships/image" Target="../media/image41.emf"/><Relationship Id="rId12" Type="http://schemas.openxmlformats.org/officeDocument/2006/relationships/image" Target="../media/image46.emf"/><Relationship Id="rId17" Type="http://schemas.openxmlformats.org/officeDocument/2006/relationships/image" Target="../media/image51.emf"/><Relationship Id="rId2" Type="http://schemas.openxmlformats.org/officeDocument/2006/relationships/image" Target="../media/image36.emf"/><Relationship Id="rId16" Type="http://schemas.openxmlformats.org/officeDocument/2006/relationships/image" Target="../media/image50.png"/><Relationship Id="rId1" Type="http://schemas.openxmlformats.org/officeDocument/2006/relationships/image" Target="../media/image35.png"/><Relationship Id="rId6" Type="http://schemas.openxmlformats.org/officeDocument/2006/relationships/image" Target="../media/image40.emf"/><Relationship Id="rId11" Type="http://schemas.openxmlformats.org/officeDocument/2006/relationships/image" Target="../media/image45.emf"/><Relationship Id="rId5" Type="http://schemas.openxmlformats.org/officeDocument/2006/relationships/image" Target="../media/image39.emf"/><Relationship Id="rId15" Type="http://schemas.openxmlformats.org/officeDocument/2006/relationships/image" Target="../media/image49.emf"/><Relationship Id="rId10" Type="http://schemas.openxmlformats.org/officeDocument/2006/relationships/image" Target="../media/image44.emf"/><Relationship Id="rId4" Type="http://schemas.openxmlformats.org/officeDocument/2006/relationships/image" Target="../media/image38.emf"/><Relationship Id="rId9" Type="http://schemas.openxmlformats.org/officeDocument/2006/relationships/image" Target="../media/image43.emf"/><Relationship Id="rId14" Type="http://schemas.openxmlformats.org/officeDocument/2006/relationships/image" Target="../media/image48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59.emf"/><Relationship Id="rId13" Type="http://schemas.openxmlformats.org/officeDocument/2006/relationships/image" Target="../media/image64.emf"/><Relationship Id="rId3" Type="http://schemas.openxmlformats.org/officeDocument/2006/relationships/image" Target="../media/image54.emf"/><Relationship Id="rId7" Type="http://schemas.openxmlformats.org/officeDocument/2006/relationships/image" Target="../media/image58.emf"/><Relationship Id="rId12" Type="http://schemas.openxmlformats.org/officeDocument/2006/relationships/image" Target="../media/image63.emf"/><Relationship Id="rId2" Type="http://schemas.openxmlformats.org/officeDocument/2006/relationships/image" Target="../media/image53.emf"/><Relationship Id="rId1" Type="http://schemas.openxmlformats.org/officeDocument/2006/relationships/image" Target="../media/image52.emf"/><Relationship Id="rId6" Type="http://schemas.openxmlformats.org/officeDocument/2006/relationships/image" Target="../media/image57.emf"/><Relationship Id="rId11" Type="http://schemas.openxmlformats.org/officeDocument/2006/relationships/image" Target="../media/image62.emf"/><Relationship Id="rId5" Type="http://schemas.openxmlformats.org/officeDocument/2006/relationships/image" Target="../media/image56.emf"/><Relationship Id="rId15" Type="http://schemas.openxmlformats.org/officeDocument/2006/relationships/image" Target="../media/image66.emf"/><Relationship Id="rId10" Type="http://schemas.openxmlformats.org/officeDocument/2006/relationships/image" Target="../media/image61.emf"/><Relationship Id="rId4" Type="http://schemas.openxmlformats.org/officeDocument/2006/relationships/image" Target="../media/image55.emf"/><Relationship Id="rId9" Type="http://schemas.openxmlformats.org/officeDocument/2006/relationships/image" Target="../media/image60.emf"/><Relationship Id="rId14" Type="http://schemas.openxmlformats.org/officeDocument/2006/relationships/image" Target="../media/image6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12</xdr:col>
      <xdr:colOff>0</xdr:colOff>
      <xdr:row>6</xdr:row>
      <xdr:rowOff>9525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40A2F210-53DF-4CA9-8A4F-A28D51BA1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14900" y="200025"/>
          <a:ext cx="3695700" cy="49911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0</xdr:colOff>
      <xdr:row>6</xdr:row>
      <xdr:rowOff>9525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BE3B254A-05A6-48FC-B070-5BFC03413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200025"/>
          <a:ext cx="3695700" cy="499110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1</xdr:row>
          <xdr:rowOff>0</xdr:rowOff>
        </xdr:from>
        <xdr:ext cx="3705225" cy="5000625"/>
        <xdr:pic>
          <xdr:nvPicPr>
            <xdr:cNvPr id="18" name="Picture 17">
              <a:extLst>
                <a:ext uri="{FF2B5EF4-FFF2-40B4-BE49-F238E27FC236}">
                  <a16:creationId xmlns:a16="http://schemas.microsoft.com/office/drawing/2014/main" id="{55B11F5E-763A-404B-B231-BB497A0C62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45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2202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1</xdr:row>
          <xdr:rowOff>0</xdr:rowOff>
        </xdr:from>
        <xdr:ext cx="3705225" cy="5000625"/>
        <xdr:pic>
          <xdr:nvPicPr>
            <xdr:cNvPr id="19" name="Picture 18">
              <a:extLst>
                <a:ext uri="{FF2B5EF4-FFF2-40B4-BE49-F238E27FC236}">
                  <a16:creationId xmlns:a16="http://schemas.microsoft.com/office/drawing/2014/main" id="{D3316334-D9FF-41B1-89B8-D994EF00B35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46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35255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7</xdr:row>
          <xdr:rowOff>0</xdr:rowOff>
        </xdr:from>
        <xdr:ext cx="3705225" cy="5000625"/>
        <xdr:pic>
          <xdr:nvPicPr>
            <xdr:cNvPr id="20" name="Picture 19">
              <a:extLst>
                <a:ext uri="{FF2B5EF4-FFF2-40B4-BE49-F238E27FC236}">
                  <a16:creationId xmlns:a16="http://schemas.microsoft.com/office/drawing/2014/main" id="{BFE5DA9D-2717-4BAA-AACB-A77E3AF34F3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47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135255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7</xdr:row>
          <xdr:rowOff>0</xdr:rowOff>
        </xdr:from>
        <xdr:ext cx="3705225" cy="5000625"/>
        <xdr:pic>
          <xdr:nvPicPr>
            <xdr:cNvPr id="21" name="Picture 20">
              <a:extLst>
                <a:ext uri="{FF2B5EF4-FFF2-40B4-BE49-F238E27FC236}">
                  <a16:creationId xmlns:a16="http://schemas.microsoft.com/office/drawing/2014/main" id="{4EF40632-C9BA-40AC-93A9-93ED92891B6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48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2202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7</xdr:row>
          <xdr:rowOff>0</xdr:rowOff>
        </xdr:from>
        <xdr:ext cx="3705225" cy="5000625"/>
        <xdr:pic>
          <xdr:nvPicPr>
            <xdr:cNvPr id="22" name="Picture 21">
              <a:extLst>
                <a:ext uri="{FF2B5EF4-FFF2-40B4-BE49-F238E27FC236}">
                  <a16:creationId xmlns:a16="http://schemas.microsoft.com/office/drawing/2014/main" id="{35BBB72F-5133-4BDD-B5F7-4F69820251B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49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9149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7</xdr:row>
          <xdr:rowOff>0</xdr:rowOff>
        </xdr:from>
        <xdr:ext cx="3705225" cy="5000625"/>
        <xdr:pic>
          <xdr:nvPicPr>
            <xdr:cNvPr id="23" name="Picture 22">
              <a:extLst>
                <a:ext uri="{FF2B5EF4-FFF2-40B4-BE49-F238E27FC236}">
                  <a16:creationId xmlns:a16="http://schemas.microsoft.com/office/drawing/2014/main" id="{76D65C39-E8FB-4AB3-815E-7F6DDA65695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50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6096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13</xdr:row>
          <xdr:rowOff>0</xdr:rowOff>
        </xdr:from>
        <xdr:ext cx="3705225" cy="5000625"/>
        <xdr:pic>
          <xdr:nvPicPr>
            <xdr:cNvPr id="24" name="Picture 23">
              <a:extLst>
                <a:ext uri="{FF2B5EF4-FFF2-40B4-BE49-F238E27FC236}">
                  <a16:creationId xmlns:a16="http://schemas.microsoft.com/office/drawing/2014/main" id="{6FB6548D-FFE1-40A8-8546-811979858E5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51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6096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12</xdr:col>
          <xdr:colOff>9525</xdr:colOff>
          <xdr:row>18</xdr:row>
          <xdr:rowOff>19050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EBBF2DB2-FBBD-E209-1034-87EB6702CE7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5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18</xdr:col>
          <xdr:colOff>9525</xdr:colOff>
          <xdr:row>18</xdr:row>
          <xdr:rowOff>19050</xdr:rowOff>
        </xdr:to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F71B6122-5D31-4279-8B77-2525453DE72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53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24</xdr:col>
          <xdr:colOff>9525</xdr:colOff>
          <xdr:row>18</xdr:row>
          <xdr:rowOff>19050</xdr:rowOff>
        </xdr:to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4F4A0A05-EAEB-43E7-926C-D1ED54F0F97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5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6</xdr:col>
          <xdr:colOff>9525</xdr:colOff>
          <xdr:row>24</xdr:row>
          <xdr:rowOff>19050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E4F5A0-DF6D-48FD-BB66-DAC83E81E0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5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12</xdr:col>
          <xdr:colOff>9525</xdr:colOff>
          <xdr:row>24</xdr:row>
          <xdr:rowOff>19050</xdr:rowOff>
        </xdr:to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26158A2E-0158-4E51-8F64-6A048A0996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5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18</xdr:col>
          <xdr:colOff>9525</xdr:colOff>
          <xdr:row>24</xdr:row>
          <xdr:rowOff>19050</xdr:rowOff>
        </xdr:to>
        <xdr:pic>
          <xdr:nvPicPr>
            <xdr:cNvPr id="8" name="Picture 7">
              <a:extLst>
                <a:ext uri="{FF2B5EF4-FFF2-40B4-BE49-F238E27FC236}">
                  <a16:creationId xmlns:a16="http://schemas.microsoft.com/office/drawing/2014/main" id="{06B5C7DE-6CFA-4958-94FC-DC4C415E1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5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24</xdr:col>
          <xdr:colOff>9525</xdr:colOff>
          <xdr:row>24</xdr:row>
          <xdr:rowOff>19050</xdr:rowOff>
        </xdr:to>
        <xdr:pic>
          <xdr:nvPicPr>
            <xdr:cNvPr id="9" name="Picture 8">
              <a:extLst>
                <a:ext uri="{FF2B5EF4-FFF2-40B4-BE49-F238E27FC236}">
                  <a16:creationId xmlns:a16="http://schemas.microsoft.com/office/drawing/2014/main" id="{79D01B02-5DCA-4108-8783-A59C268AEE8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5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59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60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61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62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63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64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65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66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67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68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69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70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71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72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73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6</xdr:col>
          <xdr:colOff>9525</xdr:colOff>
          <xdr:row>30</xdr:row>
          <xdr:rowOff>19050</xdr:rowOff>
        </xdr:to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424869C4-9B51-4F72-BD92-76BDFE2D4B7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7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216503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12</xdr:col>
          <xdr:colOff>9525</xdr:colOff>
          <xdr:row>30</xdr:row>
          <xdr:rowOff>19050</xdr:rowOff>
        </xdr:to>
        <xdr:pic>
          <xdr:nvPicPr>
            <xdr:cNvPr id="27" name="Picture 26">
              <a:extLst>
                <a:ext uri="{FF2B5EF4-FFF2-40B4-BE49-F238E27FC236}">
                  <a16:creationId xmlns:a16="http://schemas.microsoft.com/office/drawing/2014/main" id="{957F9E96-7DD7-48A2-94DF-BEBAB69F781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7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216503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3</xdr:col>
          <xdr:colOff>47625</xdr:colOff>
          <xdr:row>26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76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9</xdr:col>
          <xdr:colOff>47625</xdr:colOff>
          <xdr:row>26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477"/>
                </a:ext>
              </a:extLst>
            </xdr:cNvPicPr>
          </xdr:nvPicPr>
          <xdr:blipFill>
            <a:blip xmlns:r="http://schemas.openxmlformats.org/officeDocument/2006/relationships" r:embed="rId17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8" Type="http://schemas.openxmlformats.org/officeDocument/2006/relationships/image" Target="../media/image8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2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zoomScaleNormal="100" workbookViewId="0">
      <selection activeCell="M28" sqref="M28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35"/>
      <c r="C2" s="36"/>
      <c r="D2" s="36"/>
      <c r="E2" s="36"/>
      <c r="F2" s="37"/>
      <c r="H2" s="47"/>
      <c r="I2" s="48"/>
      <c r="J2" s="48"/>
      <c r="K2" s="48"/>
      <c r="L2" s="49"/>
      <c r="N2" s="1"/>
      <c r="O2" s="2"/>
      <c r="P2" s="2"/>
      <c r="Q2" s="2"/>
      <c r="R2" s="59"/>
      <c r="T2" s="5"/>
      <c r="U2" s="6"/>
      <c r="V2" s="6"/>
      <c r="W2" s="6"/>
      <c r="X2" s="25"/>
    </row>
    <row r="3" spans="2:24" s="21" customFormat="1" ht="72" customHeight="1" x14ac:dyDescent="0.25">
      <c r="B3" s="38"/>
      <c r="C3" s="39"/>
      <c r="D3" s="39" t="str">
        <f>'Cards Src'!$A2</f>
        <v>FIREBALL</v>
      </c>
      <c r="E3" s="39"/>
      <c r="F3" s="40"/>
      <c r="H3" s="50"/>
      <c r="I3" s="51"/>
      <c r="J3" s="85" t="str">
        <f>'Cards Src'!A3</f>
        <v>FROST NOVA</v>
      </c>
      <c r="K3" s="51"/>
      <c r="L3" s="52"/>
      <c r="N3" s="60"/>
      <c r="O3" s="61"/>
      <c r="P3" s="62" t="str">
        <f>'Cards Src'!A4</f>
        <v>TIDAL WAVE</v>
      </c>
      <c r="Q3" s="61"/>
      <c r="R3" s="63"/>
      <c r="T3" s="26"/>
      <c r="U3" s="27"/>
      <c r="V3" s="33" t="str">
        <f>'Cards Src'!A5</f>
        <v>BRAMBLE SNARE</v>
      </c>
      <c r="W3" s="27"/>
      <c r="X3" s="28"/>
    </row>
    <row r="4" spans="2:24" ht="184.5" customHeight="1" x14ac:dyDescent="0.25">
      <c r="B4" s="41"/>
      <c r="C4" s="129" t="e" vm="1">
        <f>'Cards Src'!E2</f>
        <v>#VALUE!</v>
      </c>
      <c r="D4" s="129"/>
      <c r="E4" s="129"/>
      <c r="F4" s="42"/>
      <c r="H4" s="53"/>
      <c r="I4" s="134" t="e" vm="2">
        <f>'Cards Src'!E3</f>
        <v>#VALUE!</v>
      </c>
      <c r="J4" s="134"/>
      <c r="K4" s="134"/>
      <c r="L4" s="54"/>
      <c r="N4" s="116"/>
      <c r="O4" s="135" t="e" vm="3">
        <f>'Cards Src'!E4</f>
        <v>#VALUE!</v>
      </c>
      <c r="P4" s="135"/>
      <c r="Q4" s="135"/>
      <c r="R4" s="64"/>
      <c r="T4" s="7"/>
      <c r="U4" s="136" t="e" vm="4">
        <f xml:space="preserve"> 'Cards Src'!E5</f>
        <v>#VALUE!</v>
      </c>
      <c r="V4" s="136"/>
      <c r="W4" s="136"/>
      <c r="X4" s="29"/>
    </row>
    <row r="5" spans="2:24" ht="93" customHeight="1" x14ac:dyDescent="0.25">
      <c r="B5" s="41"/>
      <c r="C5" s="130" t="str">
        <f>'Cards Src'!$C2</f>
        <v>Deals damage on contact. Explodes against surfaces</v>
      </c>
      <c r="D5" s="130"/>
      <c r="E5" s="130"/>
      <c r="F5" s="43"/>
      <c r="H5" s="53"/>
      <c r="I5" s="131" t="str">
        <f>'Cards Src'!$C3</f>
        <v>Explodes on contact and freezes enemies. Frozen enemies take 1.5x damage</v>
      </c>
      <c r="J5" s="131"/>
      <c r="K5" s="131"/>
      <c r="L5" s="55"/>
      <c r="N5" s="3"/>
      <c r="O5" s="132" t="str">
        <f>'Cards Src'!C4</f>
        <v>Summons a wave that pushes back all enemies it hits, accumulating damage</v>
      </c>
      <c r="P5" s="132"/>
      <c r="Q5" s="132"/>
      <c r="R5" s="65"/>
      <c r="T5" s="7"/>
      <c r="U5" s="133" t="str">
        <f>'Cards Src'!C5</f>
        <v>Creates a trap area that slows + damages enemies as they move through it</v>
      </c>
      <c r="V5" s="133"/>
      <c r="W5" s="133"/>
      <c r="X5" s="30"/>
    </row>
    <row r="6" spans="2:24" ht="30" customHeight="1" thickBot="1" x14ac:dyDescent="0.3">
      <c r="B6" s="44"/>
      <c r="C6" s="45"/>
      <c r="D6" s="45"/>
      <c r="E6" s="45"/>
      <c r="F6" s="46"/>
      <c r="H6" s="56"/>
      <c r="I6" s="57"/>
      <c r="J6" s="57"/>
      <c r="K6" s="57"/>
      <c r="L6" s="58"/>
      <c r="N6" s="4"/>
      <c r="O6" s="66"/>
      <c r="P6" s="66"/>
      <c r="Q6" s="66"/>
      <c r="R6" s="67"/>
      <c r="T6" s="8"/>
      <c r="U6" s="31"/>
      <c r="V6" s="31"/>
      <c r="W6" s="31"/>
      <c r="X6" s="32"/>
    </row>
    <row r="7" spans="2:24" ht="30" customHeight="1" thickBot="1" x14ac:dyDescent="0.3"/>
    <row r="8" spans="2:24" ht="12.75" customHeight="1" x14ac:dyDescent="0.25">
      <c r="B8" s="9"/>
      <c r="C8" s="10"/>
      <c r="D8" s="10"/>
      <c r="E8" s="10"/>
      <c r="F8" s="117"/>
      <c r="H8" s="13"/>
      <c r="I8" s="14"/>
      <c r="J8" s="14"/>
      <c r="K8" s="14"/>
      <c r="L8" s="68"/>
      <c r="N8" s="17"/>
      <c r="O8" s="18"/>
      <c r="P8" s="18"/>
      <c r="Q8" s="18"/>
      <c r="R8" s="76"/>
      <c r="T8" s="9"/>
      <c r="U8" s="10"/>
      <c r="V8" s="10"/>
      <c r="W8" s="10"/>
      <c r="X8" s="117"/>
    </row>
    <row r="9" spans="2:24" s="21" customFormat="1" ht="72" customHeight="1" x14ac:dyDescent="0.25">
      <c r="B9" s="118"/>
      <c r="C9" s="119"/>
      <c r="D9" s="120" t="str">
        <f>'Cards Src'!$A6</f>
        <v>LIGHTNING BOLT</v>
      </c>
      <c r="E9" s="119"/>
      <c r="F9" s="121"/>
      <c r="H9" s="69"/>
      <c r="I9" s="70"/>
      <c r="J9" s="86" t="str">
        <f>'Cards Src'!A7</f>
        <v>BLACK HOLE</v>
      </c>
      <c r="K9" s="70"/>
      <c r="L9" s="71"/>
      <c r="N9" s="77"/>
      <c r="O9" s="78"/>
      <c r="P9" s="79" t="str">
        <f>'Cards Src'!A8</f>
        <v>ASTRAL DAGGER</v>
      </c>
      <c r="Q9" s="78"/>
      <c r="R9" s="80"/>
      <c r="T9" s="118"/>
      <c r="U9" s="119"/>
      <c r="V9" s="120" t="str">
        <f>'Cards Src'!A9</f>
        <v>CHAIN LIGHTNING</v>
      </c>
      <c r="W9" s="119"/>
      <c r="X9" s="121"/>
    </row>
    <row r="10" spans="2:24" ht="184.5" customHeight="1" x14ac:dyDescent="0.25">
      <c r="B10" s="11"/>
      <c r="C10" s="137" t="e" vm="5">
        <f>'Cards Src'!E6</f>
        <v>#VALUE!</v>
      </c>
      <c r="D10" s="137"/>
      <c r="E10" s="137"/>
      <c r="F10" s="126"/>
      <c r="H10" s="15"/>
      <c r="I10" s="141" t="e" vm="6">
        <f>'Cards Src'!E7</f>
        <v>#VALUE!</v>
      </c>
      <c r="J10" s="141"/>
      <c r="K10" s="141"/>
      <c r="L10" s="72"/>
      <c r="N10" s="19"/>
      <c r="O10" s="142" t="e" vm="7">
        <f>'Cards Src'!E8</f>
        <v>#VALUE!</v>
      </c>
      <c r="P10" s="142"/>
      <c r="Q10" s="142"/>
      <c r="R10" s="81"/>
      <c r="T10" s="11"/>
      <c r="U10" s="137" t="e" vm="8">
        <f>'Cards Src'!E9</f>
        <v>#VALUE!</v>
      </c>
      <c r="V10" s="137"/>
      <c r="W10" s="137"/>
      <c r="X10" s="122"/>
    </row>
    <row r="11" spans="2:24" ht="93" customHeight="1" x14ac:dyDescent="0.25">
      <c r="B11" s="11"/>
      <c r="C11" s="138" t="str">
        <f>'Cards Src'!$C6</f>
        <v>Casts a bolt of lightning</v>
      </c>
      <c r="D11" s="138"/>
      <c r="E11" s="138"/>
      <c r="F11" s="123"/>
      <c r="H11" s="15"/>
      <c r="I11" s="139" t="str">
        <f>'Cards Src'!$C7</f>
        <v>Vacuums in nearby enemies</v>
      </c>
      <c r="J11" s="139"/>
      <c r="K11" s="139"/>
      <c r="L11" s="73"/>
      <c r="N11" s="19"/>
      <c r="O11" s="140" t="str">
        <f>'Cards Src'!C8</f>
        <v>Flies to the nearest enemy in vision</v>
      </c>
      <c r="P11" s="140"/>
      <c r="Q11" s="140"/>
      <c r="R11" s="82"/>
      <c r="T11" s="11"/>
      <c r="U11" s="138" t="str">
        <f>'Cards Src'!C9</f>
        <v>Casts a tracking bolt of lightning that can chain to close enemies</v>
      </c>
      <c r="V11" s="138"/>
      <c r="W11" s="138"/>
      <c r="X11" s="123"/>
    </row>
    <row r="12" spans="2:24" ht="30" customHeight="1" thickBot="1" x14ac:dyDescent="0.3">
      <c r="B12" s="12"/>
      <c r="C12" s="124"/>
      <c r="D12" s="124"/>
      <c r="E12" s="124"/>
      <c r="F12" s="125"/>
      <c r="H12" s="16"/>
      <c r="I12" s="74"/>
      <c r="J12" s="74"/>
      <c r="K12" s="74"/>
      <c r="L12" s="75"/>
      <c r="N12" s="20"/>
      <c r="O12" s="83"/>
      <c r="P12" s="83"/>
      <c r="Q12" s="83"/>
      <c r="R12" s="84"/>
      <c r="T12" s="12"/>
      <c r="U12" s="124"/>
      <c r="V12" s="124"/>
      <c r="W12" s="124"/>
      <c r="X12" s="125"/>
    </row>
    <row r="13" spans="2:24" ht="30" customHeight="1" thickBot="1" x14ac:dyDescent="0.3"/>
    <row r="14" spans="2:24" ht="12.75" customHeight="1" x14ac:dyDescent="0.25">
      <c r="B14" s="17"/>
      <c r="C14" s="18"/>
      <c r="D14" s="18"/>
      <c r="E14" s="18"/>
      <c r="F14" s="76"/>
      <c r="H14" s="100"/>
      <c r="I14" s="101"/>
      <c r="J14" s="101"/>
      <c r="K14" s="101"/>
      <c r="L14" s="102"/>
      <c r="N14" s="100"/>
      <c r="O14" s="101"/>
      <c r="P14" s="101"/>
      <c r="Q14" s="101"/>
      <c r="R14" s="102"/>
      <c r="T14" s="100"/>
      <c r="U14" s="101"/>
      <c r="V14" s="101"/>
      <c r="W14" s="101"/>
      <c r="X14" s="102"/>
    </row>
    <row r="15" spans="2:24" s="21" customFormat="1" ht="72" customHeight="1" x14ac:dyDescent="0.25">
      <c r="B15" s="77"/>
      <c r="C15" s="78"/>
      <c r="D15" s="79" t="str">
        <f>'Cards Src'!$A10</f>
        <v>DIVINE JUDGEMENT</v>
      </c>
      <c r="E15" s="78"/>
      <c r="F15" s="80"/>
      <c r="H15" s="103"/>
      <c r="I15" s="104"/>
      <c r="J15" s="105" t="str">
        <f>'Cards Src'!A11</f>
        <v>HASTE</v>
      </c>
      <c r="K15" s="104"/>
      <c r="L15" s="106"/>
      <c r="N15" s="103"/>
      <c r="O15" s="104"/>
      <c r="P15" s="105" t="str">
        <f>'Cards Src'!A12</f>
        <v>HINDER</v>
      </c>
      <c r="Q15" s="104"/>
      <c r="R15" s="106"/>
      <c r="T15" s="103"/>
      <c r="U15" s="104"/>
      <c r="V15" s="114" t="str">
        <f>'Cards Src'!A13</f>
        <v>MULLIGAN</v>
      </c>
      <c r="W15" s="104"/>
      <c r="X15" s="106"/>
    </row>
    <row r="16" spans="2:24" ht="184.5" customHeight="1" x14ac:dyDescent="0.25">
      <c r="B16" s="19"/>
      <c r="C16" s="142" t="e" vm="9">
        <f>'Cards Src'!E10</f>
        <v>#VALUE!</v>
      </c>
      <c r="D16" s="142"/>
      <c r="E16" s="142"/>
      <c r="F16" s="81"/>
      <c r="H16" s="107"/>
      <c r="I16" s="145" t="e" vm="10">
        <f>'Cards Src'!E11</f>
        <v>#VALUE!</v>
      </c>
      <c r="J16" s="145"/>
      <c r="K16" s="145"/>
      <c r="L16" s="108"/>
      <c r="N16" s="107"/>
      <c r="O16" s="146" t="e" vm="11">
        <f>'Cards Src'!E12</f>
        <v>#VALUE!</v>
      </c>
      <c r="P16" s="146"/>
      <c r="Q16" s="146"/>
      <c r="R16" s="108"/>
      <c r="T16" s="107"/>
      <c r="U16" s="146" t="e" vm="12">
        <f xml:space="preserve"> 'Cards Src'!E13</f>
        <v>#VALUE!</v>
      </c>
      <c r="V16" s="146"/>
      <c r="W16" s="146"/>
      <c r="X16" s="108"/>
    </row>
    <row r="17" spans="2:24" ht="93" customHeight="1" x14ac:dyDescent="0.25">
      <c r="B17" s="19"/>
      <c r="C17" s="143" t="str">
        <f>'Cards Src'!$C10</f>
        <v>Creates an area on the ground that damages to enemies within it. Mark any enemy to deal damage to the enemy proportional to the time spent once finishes</v>
      </c>
      <c r="D17" s="143"/>
      <c r="E17" s="143"/>
      <c r="F17" s="82"/>
      <c r="H17" s="107"/>
      <c r="I17" s="144" t="str">
        <f>'Cards Src'!$C11</f>
        <v>Increases player movement speed for a set duration</v>
      </c>
      <c r="J17" s="144"/>
      <c r="K17" s="144"/>
      <c r="L17" s="110"/>
      <c r="N17" s="107"/>
      <c r="O17" s="144" t="str">
        <f>'Cards Src'!C12</f>
        <v>Enemies are temporarily slowed on hit for a set duration.</v>
      </c>
      <c r="P17" s="144"/>
      <c r="Q17" s="144"/>
      <c r="R17" s="110"/>
      <c r="T17" s="107"/>
      <c r="U17" s="144" t="str">
        <f>'Cards Src'!C13</f>
        <v>Randomly swap two cards in the current hand with cards in the deck</v>
      </c>
      <c r="V17" s="144"/>
      <c r="W17" s="144"/>
      <c r="X17" s="110"/>
    </row>
    <row r="18" spans="2:24" ht="30" customHeight="1" thickBot="1" x14ac:dyDescent="0.3">
      <c r="B18" s="20"/>
      <c r="C18" s="83"/>
      <c r="D18" s="83"/>
      <c r="E18" s="83"/>
      <c r="F18" s="84"/>
      <c r="H18" s="111"/>
      <c r="I18" s="112"/>
      <c r="J18" s="112"/>
      <c r="K18" s="112"/>
      <c r="L18" s="113"/>
      <c r="N18" s="111"/>
      <c r="O18" s="112"/>
      <c r="P18" s="112"/>
      <c r="Q18" s="112"/>
      <c r="R18" s="113"/>
      <c r="T18" s="111"/>
      <c r="U18" s="112"/>
      <c r="V18" s="112"/>
      <c r="W18" s="112"/>
      <c r="X18" s="113"/>
    </row>
    <row r="19" spans="2:24" ht="30" customHeight="1" thickBot="1" x14ac:dyDescent="0.3"/>
    <row r="20" spans="2:24" ht="12.75" customHeight="1" x14ac:dyDescent="0.25">
      <c r="B20" s="100"/>
      <c r="C20" s="101"/>
      <c r="D20" s="101"/>
      <c r="E20" s="101"/>
      <c r="F20" s="102"/>
      <c r="H20" s="100"/>
      <c r="I20" s="101"/>
      <c r="J20" s="101"/>
      <c r="K20" s="101"/>
      <c r="L20" s="102"/>
      <c r="N20" s="100"/>
      <c r="O20" s="101"/>
      <c r="P20" s="101"/>
      <c r="Q20" s="101"/>
      <c r="R20" s="102"/>
      <c r="T20" s="100"/>
      <c r="U20" s="101"/>
      <c r="V20" s="101"/>
      <c r="W20" s="101"/>
      <c r="X20" s="102"/>
    </row>
    <row r="21" spans="2:24" s="21" customFormat="1" ht="72" customHeight="1" x14ac:dyDescent="0.25">
      <c r="B21" s="103"/>
      <c r="C21" s="104"/>
      <c r="D21" s="109" t="str">
        <f>'Cards Src'!$A14</f>
        <v>BUT WAIT, THERE'S MORE</v>
      </c>
      <c r="E21" s="104"/>
      <c r="F21" s="106"/>
      <c r="H21" s="103"/>
      <c r="I21" s="104"/>
      <c r="J21" s="115" t="str">
        <f>'Cards Src'!A15</f>
        <v>MANA SHIELD</v>
      </c>
      <c r="K21" s="104"/>
      <c r="L21" s="106"/>
      <c r="N21" s="103"/>
      <c r="O21" s="104"/>
      <c r="P21" s="115" t="str">
        <f>'Cards Src'!A16</f>
        <v>RUNAWAY BULL</v>
      </c>
      <c r="Q21" s="104"/>
      <c r="R21" s="106"/>
      <c r="T21" s="103"/>
      <c r="U21" s="104"/>
      <c r="V21" s="128" t="str">
        <f>'Cards Src'!A17</f>
        <v>HOLY BLADE</v>
      </c>
      <c r="W21" s="104"/>
      <c r="X21" s="106"/>
    </row>
    <row r="22" spans="2:24" ht="184.5" customHeight="1" x14ac:dyDescent="0.25">
      <c r="B22" s="107"/>
      <c r="C22" s="146" t="e" vm="13">
        <f>'Cards Src'!E14</f>
        <v>#VALUE!</v>
      </c>
      <c r="D22" s="146"/>
      <c r="E22" s="146"/>
      <c r="F22" s="108"/>
      <c r="H22" s="107"/>
      <c r="I22" s="146" t="e" vm="14">
        <f>'Cards Src'!E15</f>
        <v>#VALUE!</v>
      </c>
      <c r="J22" s="146"/>
      <c r="K22" s="146"/>
      <c r="L22" s="108"/>
      <c r="N22" s="107"/>
      <c r="O22" s="146" t="e" vm="15">
        <f>'Cards Src'!E16</f>
        <v>#VALUE!</v>
      </c>
      <c r="P22" s="146"/>
      <c r="Q22" s="146"/>
      <c r="R22" s="108"/>
      <c r="T22" s="107"/>
      <c r="U22" s="146" t="e" vm="16">
        <f xml:space="preserve"> 'Cards Src'!E17</f>
        <v>#VALUE!</v>
      </c>
      <c r="V22" s="146"/>
      <c r="W22" s="146"/>
      <c r="X22" s="108"/>
    </row>
    <row r="23" spans="2:24" ht="93" customHeight="1" x14ac:dyDescent="0.25">
      <c r="B23" s="107"/>
      <c r="C23" s="144" t="str">
        <f>'Cards Src'!$C14</f>
        <v>Randomly shuffle two cards from the discard pile back into the deck</v>
      </c>
      <c r="D23" s="144"/>
      <c r="E23" s="144"/>
      <c r="F23" s="110"/>
      <c r="H23" s="107"/>
      <c r="I23" s="144" t="str">
        <f>'Cards Src'!$C15</f>
        <v>Negate x number of hits</v>
      </c>
      <c r="J23" s="144"/>
      <c r="K23" s="144"/>
      <c r="L23" s="110"/>
      <c r="N23" s="107"/>
      <c r="O23" s="147" t="str">
        <f>'Cards Src'!C16</f>
        <v>For a temporary amount of time, causes the player's dashes to push enemies away slightly and inflict damage</v>
      </c>
      <c r="P23" s="147"/>
      <c r="Q23" s="147"/>
      <c r="R23" s="110"/>
      <c r="T23" s="107"/>
      <c r="U23" s="144" t="str">
        <f>'Cards Src'!C17</f>
        <v>Increase damage of your weapon by x for a certain amount of time</v>
      </c>
      <c r="V23" s="144"/>
      <c r="W23" s="144"/>
      <c r="X23" s="110"/>
    </row>
    <row r="24" spans="2:24" ht="30" customHeight="1" thickBot="1" x14ac:dyDescent="0.3">
      <c r="B24" s="111"/>
      <c r="C24" s="112"/>
      <c r="D24" s="112"/>
      <c r="E24" s="112"/>
      <c r="F24" s="113"/>
      <c r="H24" s="111"/>
      <c r="I24" s="112"/>
      <c r="J24" s="112"/>
      <c r="K24" s="112"/>
      <c r="L24" s="113"/>
      <c r="N24" s="111"/>
      <c r="O24" s="112"/>
      <c r="P24" s="112"/>
      <c r="Q24" s="112"/>
      <c r="R24" s="113"/>
      <c r="T24" s="111"/>
      <c r="U24" s="112"/>
      <c r="V24" s="112"/>
      <c r="W24" s="112"/>
      <c r="X24" s="113"/>
    </row>
    <row r="25" spans="2:24" ht="30" customHeight="1" thickBot="1" x14ac:dyDescent="0.3"/>
    <row r="26" spans="2:24" ht="12.75" customHeight="1" x14ac:dyDescent="0.25">
      <c r="B26" s="100"/>
      <c r="C26" s="101"/>
      <c r="D26" s="101"/>
      <c r="E26" s="101"/>
      <c r="F26" s="102"/>
      <c r="H26" s="100"/>
      <c r="I26" s="101"/>
      <c r="J26" s="101"/>
      <c r="K26" s="101"/>
      <c r="L26" s="102"/>
      <c r="N26" s="87"/>
      <c r="O26" s="88"/>
      <c r="P26" s="88"/>
      <c r="Q26" s="88"/>
      <c r="R26" s="89"/>
      <c r="T26" s="87"/>
      <c r="U26" s="88"/>
      <c r="V26" s="88"/>
      <c r="W26" s="88"/>
      <c r="X26" s="89"/>
    </row>
    <row r="27" spans="2:24" s="21" customFormat="1" ht="72" customHeight="1" x14ac:dyDescent="0.25">
      <c r="B27" s="103"/>
      <c r="C27" s="104"/>
      <c r="D27" s="105" t="str">
        <f>'Cards Src'!$A18</f>
        <v>RECALL</v>
      </c>
      <c r="E27" s="104"/>
      <c r="F27" s="106"/>
      <c r="H27" s="103"/>
      <c r="I27" s="104"/>
      <c r="J27" s="105" t="str">
        <f>'Cards Src'!A19</f>
        <v>GREED</v>
      </c>
      <c r="K27" s="104"/>
      <c r="L27" s="106"/>
      <c r="N27" s="90"/>
      <c r="O27" s="91"/>
      <c r="P27" s="92">
        <f>'Cards Src'!A20</f>
        <v>0</v>
      </c>
      <c r="Q27" s="91"/>
      <c r="R27" s="93"/>
      <c r="T27" s="90"/>
      <c r="U27" s="91"/>
      <c r="V27" s="92">
        <f>'Cards Src'!A21</f>
        <v>0</v>
      </c>
      <c r="W27" s="91"/>
      <c r="X27" s="93"/>
    </row>
    <row r="28" spans="2:24" ht="184.5" customHeight="1" x14ac:dyDescent="0.25">
      <c r="B28" s="107"/>
      <c r="C28" s="146" t="e" vm="17">
        <f>'Cards Src'!E18</f>
        <v>#VALUE!</v>
      </c>
      <c r="D28" s="146"/>
      <c r="E28" s="146"/>
      <c r="F28" s="108"/>
      <c r="H28" s="107"/>
      <c r="I28" s="146" t="e" vm="18">
        <f>'Cards Src'!E19</f>
        <v>#VALUE!</v>
      </c>
      <c r="J28" s="146"/>
      <c r="K28" s="146"/>
      <c r="L28" s="108"/>
      <c r="N28" s="94"/>
      <c r="O28" s="149">
        <f>'Cards Src'!E20</f>
        <v>0</v>
      </c>
      <c r="P28" s="149"/>
      <c r="Q28" s="149"/>
      <c r="R28" s="95"/>
      <c r="T28" s="94"/>
      <c r="U28" s="149">
        <f xml:space="preserve"> 'Cards Src'!E21</f>
        <v>0</v>
      </c>
      <c r="V28" s="149"/>
      <c r="W28" s="149"/>
      <c r="X28" s="95"/>
    </row>
    <row r="29" spans="2:24" ht="93" customHeight="1" x14ac:dyDescent="0.25">
      <c r="B29" s="107"/>
      <c r="C29" s="144" t="str">
        <f>'Cards Src'!$C18</f>
        <v>Recall last used card into deck</v>
      </c>
      <c r="D29" s="144"/>
      <c r="E29" s="144"/>
      <c r="F29" s="110"/>
      <c r="H29" s="107"/>
      <c r="I29" s="144" t="str">
        <f>'Cards Src'!$C19</f>
        <v>Draw 2 cards</v>
      </c>
      <c r="J29" s="144"/>
      <c r="K29" s="144"/>
      <c r="L29" s="110"/>
      <c r="N29" s="94"/>
      <c r="O29" s="148">
        <f>'Cards Src'!C20</f>
        <v>0</v>
      </c>
      <c r="P29" s="148"/>
      <c r="Q29" s="148"/>
      <c r="R29" s="96"/>
      <c r="T29" s="94"/>
      <c r="U29" s="148">
        <f>'Cards Src'!C21</f>
        <v>0</v>
      </c>
      <c r="V29" s="148"/>
      <c r="W29" s="148"/>
      <c r="X29" s="96"/>
    </row>
    <row r="30" spans="2:24" ht="30" customHeight="1" thickBot="1" x14ac:dyDescent="0.3">
      <c r="B30" s="111"/>
      <c r="C30" s="112"/>
      <c r="D30" s="112"/>
      <c r="E30" s="112"/>
      <c r="F30" s="113"/>
      <c r="H30" s="111"/>
      <c r="I30" s="112"/>
      <c r="J30" s="112"/>
      <c r="K30" s="112"/>
      <c r="L30" s="113"/>
      <c r="N30" s="97"/>
      <c r="O30" s="98"/>
      <c r="P30" s="98"/>
      <c r="Q30" s="98"/>
      <c r="R30" s="99"/>
      <c r="T30" s="97"/>
      <c r="U30" s="98"/>
      <c r="V30" s="98"/>
      <c r="W30" s="98"/>
      <c r="X30" s="99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tabSelected="1" zoomScaleNormal="100" workbookViewId="0">
      <selection activeCell="H2" sqref="H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53" customWidth="1"/>
    <col min="4" max="4" width="10.7109375" style="150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56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57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57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57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57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57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57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57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57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57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57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57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57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57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57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57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57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57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57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57"/>
    </row>
    <row r="21" spans="1:5" s="34" customFormat="1" ht="186" customHeight="1" x14ac:dyDescent="0.25">
      <c r="C21" s="157"/>
    </row>
    <row r="22" spans="1:5" s="34" customFormat="1" ht="186" customHeight="1" x14ac:dyDescent="0.25">
      <c r="C22" s="157"/>
    </row>
    <row r="23" spans="1:5" s="34" customFormat="1" ht="186" customHeight="1" x14ac:dyDescent="0.25">
      <c r="C23" s="157"/>
    </row>
    <row r="24" spans="1:5" s="34" customFormat="1" ht="186" customHeight="1" x14ac:dyDescent="0.25">
      <c r="C24" s="15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S6"/>
  <sheetViews>
    <sheetView showGridLines="0" workbookViewId="0">
      <selection activeCell="B13" sqref="B13"/>
    </sheetView>
  </sheetViews>
  <sheetFormatPr defaultRowHeight="15" x14ac:dyDescent="0.25"/>
  <cols>
    <col min="1" max="28" width="15.42578125" customWidth="1"/>
  </cols>
  <sheetData>
    <row r="2" spans="1:19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9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9" ht="81" customHeight="1" x14ac:dyDescent="0.25">
      <c r="A5" s="21" t="s">
        <v>54</v>
      </c>
      <c r="B5" t="e" vm="46">
        <v>#VALUE!</v>
      </c>
    </row>
    <row r="6" spans="1:19" s="155" customFormat="1" ht="30" x14ac:dyDescent="0.25">
      <c r="B6" s="158" t="s">
        <v>0</v>
      </c>
      <c r="C6" s="159" t="s">
        <v>19</v>
      </c>
      <c r="D6" s="159" t="s">
        <v>14</v>
      </c>
      <c r="E6" s="159" t="s">
        <v>15</v>
      </c>
      <c r="F6" s="159" t="s">
        <v>17</v>
      </c>
      <c r="G6" s="159" t="s">
        <v>26</v>
      </c>
      <c r="H6" s="159" t="s">
        <v>16</v>
      </c>
      <c r="I6" s="159" t="s">
        <v>27</v>
      </c>
      <c r="J6" s="159" t="s">
        <v>28</v>
      </c>
      <c r="K6" s="159" t="s">
        <v>48</v>
      </c>
      <c r="L6" s="159" t="s">
        <v>33</v>
      </c>
      <c r="M6" s="159" t="s">
        <v>34</v>
      </c>
      <c r="N6" s="159" t="s">
        <v>35</v>
      </c>
      <c r="O6" s="159" t="s">
        <v>36</v>
      </c>
      <c r="P6" s="159" t="s">
        <v>37</v>
      </c>
      <c r="Q6" s="159" t="s">
        <v>38</v>
      </c>
      <c r="R6" s="159" t="s">
        <v>49</v>
      </c>
      <c r="S6" s="159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D6"/>
  <sheetViews>
    <sheetView showGridLines="0" zoomScaleNormal="100" workbookViewId="0">
      <selection activeCell="I2" sqref="I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53" customWidth="1"/>
  </cols>
  <sheetData>
    <row r="1" spans="1:4" ht="50.1" customHeight="1" x14ac:dyDescent="0.25">
      <c r="A1" s="21" t="s">
        <v>1</v>
      </c>
      <c r="C1" s="152"/>
      <c r="D1" s="21"/>
    </row>
    <row r="2" spans="1:4" ht="393" customHeight="1" x14ac:dyDescent="0.25">
      <c r="A2" t="e" vm="47">
        <v>#VALUE!</v>
      </c>
      <c r="C2" s="153" t="e" vm="48">
        <v>#VALUE!</v>
      </c>
    </row>
    <row r="3" spans="1:4" ht="50.1" customHeight="1" x14ac:dyDescent="0.25">
      <c r="A3" s="21" t="s">
        <v>56</v>
      </c>
      <c r="C3" s="152"/>
      <c r="D3" s="21"/>
    </row>
    <row r="4" spans="1:4" ht="393" customHeight="1" x14ac:dyDescent="0.25">
      <c r="A4" t="e" vm="49">
        <v>#VALUE!</v>
      </c>
      <c r="C4" s="153" t="e" vm="50">
        <v>#VALUE!</v>
      </c>
    </row>
    <row r="5" spans="1:4" ht="50.1" customHeight="1" x14ac:dyDescent="0.25">
      <c r="A5" s="21" t="s">
        <v>55</v>
      </c>
      <c r="C5" s="152"/>
      <c r="D5" s="21"/>
    </row>
    <row r="6" spans="1:4" ht="393" customHeight="1" x14ac:dyDescent="0.25">
      <c r="A6" s="151" t="e" vm="51">
        <v>#VALUE!</v>
      </c>
      <c r="C6" s="154" t="e" vm="52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2026-03-03T02:24:48Z</dcterms:modified>
</cp:coreProperties>
</file>