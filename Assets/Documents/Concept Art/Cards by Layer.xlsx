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C776112E-87DA-4608-88D8-1C02E353FA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5" l="1"/>
  <c r="I4" i="15"/>
  <c r="I5" i="15"/>
  <c r="D3" i="15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D9" i="15"/>
  <c r="U5" i="15"/>
  <c r="O5" i="15"/>
  <c r="V3" i="15"/>
  <c r="P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</futureMetadata>
  <valueMetadata count="7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<sst xmlns="http://schemas.openxmlformats.org/spreadsheetml/2006/main" count="111" uniqueCount="59">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</sst>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0.emf"/><Relationship Id="rId13" Type="http://schemas.openxmlformats.org/officeDocument/2006/relationships/image" Target="../media/image65.emf"/><Relationship Id="rId18" Type="http://schemas.openxmlformats.org/officeDocument/2006/relationships/image" Target="../media/image70.emf"/><Relationship Id="rId26" Type="http://schemas.openxmlformats.org/officeDocument/2006/relationships/image" Target="../media/image78.emf"/><Relationship Id="rId3" Type="http://schemas.openxmlformats.org/officeDocument/2006/relationships/image" Target="../media/image55.emf"/><Relationship Id="rId21" Type="http://schemas.openxmlformats.org/officeDocument/2006/relationships/image" Target="../media/image73.emf"/><Relationship Id="rId7" Type="http://schemas.openxmlformats.org/officeDocument/2006/relationships/image" Target="../media/image59.emf"/><Relationship Id="rId12" Type="http://schemas.openxmlformats.org/officeDocument/2006/relationships/image" Target="../media/image64.emf"/><Relationship Id="rId17" Type="http://schemas.openxmlformats.org/officeDocument/2006/relationships/image" Target="../media/image69.emf"/><Relationship Id="rId25" Type="http://schemas.openxmlformats.org/officeDocument/2006/relationships/image" Target="../media/image77.emf"/><Relationship Id="rId2" Type="http://schemas.openxmlformats.org/officeDocument/2006/relationships/image" Target="../media/image54.emf"/><Relationship Id="rId16" Type="http://schemas.openxmlformats.org/officeDocument/2006/relationships/image" Target="../media/image68.emf"/><Relationship Id="rId20" Type="http://schemas.openxmlformats.org/officeDocument/2006/relationships/image" Target="../media/image72.emf"/><Relationship Id="rId29" Type="http://schemas.openxmlformats.org/officeDocument/2006/relationships/image" Target="../media/image81.emf"/><Relationship Id="rId1" Type="http://schemas.openxmlformats.org/officeDocument/2006/relationships/image" Target="../media/image53.emf"/><Relationship Id="rId6" Type="http://schemas.openxmlformats.org/officeDocument/2006/relationships/image" Target="../media/image58.emf"/><Relationship Id="rId11" Type="http://schemas.openxmlformats.org/officeDocument/2006/relationships/image" Target="../media/image63.emf"/><Relationship Id="rId24" Type="http://schemas.openxmlformats.org/officeDocument/2006/relationships/image" Target="../media/image76.emf"/><Relationship Id="rId5" Type="http://schemas.openxmlformats.org/officeDocument/2006/relationships/image" Target="../media/image57.emf"/><Relationship Id="rId15" Type="http://schemas.openxmlformats.org/officeDocument/2006/relationships/image" Target="../media/image67.emf"/><Relationship Id="rId23" Type="http://schemas.openxmlformats.org/officeDocument/2006/relationships/image" Target="../media/image75.emf"/><Relationship Id="rId28" Type="http://schemas.openxmlformats.org/officeDocument/2006/relationships/image" Target="../media/image80.emf"/><Relationship Id="rId10" Type="http://schemas.openxmlformats.org/officeDocument/2006/relationships/image" Target="../media/image62.emf"/><Relationship Id="rId19" Type="http://schemas.openxmlformats.org/officeDocument/2006/relationships/image" Target="../media/image71.emf"/><Relationship Id="rId4" Type="http://schemas.openxmlformats.org/officeDocument/2006/relationships/image" Target="../media/image56.emf"/><Relationship Id="rId9" Type="http://schemas.openxmlformats.org/officeDocument/2006/relationships/image" Target="../media/image61.emf"/><Relationship Id="rId14" Type="http://schemas.openxmlformats.org/officeDocument/2006/relationships/image" Target="../media/image66.png"/><Relationship Id="rId22" Type="http://schemas.openxmlformats.org/officeDocument/2006/relationships/image" Target="../media/image74.emf"/><Relationship Id="rId27" Type="http://schemas.openxmlformats.org/officeDocument/2006/relationships/image" Target="../media/image79.emf"/><Relationship Id="rId30" Type="http://schemas.openxmlformats.org/officeDocument/2006/relationships/image" Target="../media/image82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90.emf"/><Relationship Id="rId3" Type="http://schemas.openxmlformats.org/officeDocument/2006/relationships/image" Target="../media/image85.emf"/><Relationship Id="rId7" Type="http://schemas.openxmlformats.org/officeDocument/2006/relationships/image" Target="../media/image89.emf"/><Relationship Id="rId12" Type="http://schemas.openxmlformats.org/officeDocument/2006/relationships/image" Target="../media/image94.emf"/><Relationship Id="rId2" Type="http://schemas.openxmlformats.org/officeDocument/2006/relationships/image" Target="../media/image84.emf"/><Relationship Id="rId1" Type="http://schemas.openxmlformats.org/officeDocument/2006/relationships/image" Target="../media/image83.emf"/><Relationship Id="rId6" Type="http://schemas.openxmlformats.org/officeDocument/2006/relationships/image" Target="../media/image88.emf"/><Relationship Id="rId11" Type="http://schemas.openxmlformats.org/officeDocument/2006/relationships/image" Target="../media/image93.emf"/><Relationship Id="rId5" Type="http://schemas.openxmlformats.org/officeDocument/2006/relationships/image" Target="../media/image87.emf"/><Relationship Id="rId10" Type="http://schemas.openxmlformats.org/officeDocument/2006/relationships/image" Target="../media/image92.emf"/><Relationship Id="rId4" Type="http://schemas.openxmlformats.org/officeDocument/2006/relationships/image" Target="../media/image86.emf"/><Relationship Id="rId9" Type="http://schemas.openxmlformats.org/officeDocument/2006/relationships/image" Target="../media/image9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3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38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39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0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1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2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3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4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5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6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8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49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50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51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352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13</xdr:col>
      <xdr:colOff>0</xdr:colOff>
      <xdr:row>1</xdr:row>
      <xdr:rowOff>0</xdr:rowOff>
    </xdr:from>
    <xdr:to>
      <xdr:col>15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47A4D9-D75D-4D66-96C3-449B2874EB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134AF24-B6D7-4AB8-8EF4-B5842E828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7</xdr:row>
      <xdr:rowOff>0</xdr:rowOff>
    </xdr:from>
    <xdr:to>
      <xdr:col>12</xdr:col>
      <xdr:colOff>19050</xdr:colOff>
      <xdr:row>12</xdr:row>
      <xdr:rowOff>19050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7C718FD-AAC6-481E-85D4-59F075E8B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4425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9525</xdr:colOff>
      <xdr:row>13</xdr:row>
      <xdr:rowOff>0</xdr:rowOff>
    </xdr:from>
    <xdr:to>
      <xdr:col>6</xdr:col>
      <xdr:colOff>19050</xdr:colOff>
      <xdr:row>18</xdr:row>
      <xdr:rowOff>19050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0C9055C-53C5-4603-A264-B13B380B0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6E5BE00-8060-08B8-1A46-54B06B9C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600075</xdr:colOff>
      <xdr:row>18</xdr:row>
      <xdr:rowOff>371475</xdr:rowOff>
    </xdr:from>
    <xdr:to>
      <xdr:col>18</xdr:col>
      <xdr:colOff>0</xdr:colOff>
      <xdr:row>24</xdr:row>
      <xdr:rowOff>9525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42F9020-4A63-480A-9CF7-EBAC246CA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10675" y="162782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600075</xdr:colOff>
      <xdr:row>24</xdr:row>
      <xdr:rowOff>371475</xdr:rowOff>
    </xdr:from>
    <xdr:to>
      <xdr:col>24</xdr:col>
      <xdr:colOff>0</xdr:colOff>
      <xdr:row>30</xdr:row>
      <xdr:rowOff>9525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A516ECD-B904-7AC4-F9EC-16B12B828337}"/>
            </a:ext>
          </a:extLst>
        </xdr:cNvPr>
        <xdr:cNvSpPr/>
      </xdr:nvSpPr>
      <xdr:spPr>
        <a:xfrm>
          <a:off x="9210675" y="21640800"/>
          <a:ext cx="8010525" cy="50006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 editAs="oneCell">
    <xdr:from>
      <xdr:col>14</xdr:col>
      <xdr:colOff>571500</xdr:colOff>
      <xdr:row>26</xdr:row>
      <xdr:rowOff>481013</xdr:rowOff>
    </xdr:from>
    <xdr:to>
      <xdr:col>15</xdr:col>
      <xdr:colOff>885825</xdr:colOff>
      <xdr:row>27</xdr:row>
      <xdr:rowOff>604838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8831CAF-765A-376B-CBC4-016EA1EE9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8400" y="22293263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1114425</xdr:colOff>
      <xdr:row>26</xdr:row>
      <xdr:rowOff>481013</xdr:rowOff>
    </xdr:from>
    <xdr:to>
      <xdr:col>16</xdr:col>
      <xdr:colOff>438150</xdr:colOff>
      <xdr:row>27</xdr:row>
      <xdr:rowOff>604838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6988B88-EB59-AB4A-D5B7-BDC424D1F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25225" y="22293263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666750</xdr:colOff>
      <xdr:row>26</xdr:row>
      <xdr:rowOff>481013</xdr:rowOff>
    </xdr:from>
    <xdr:to>
      <xdr:col>19</xdr:col>
      <xdr:colOff>104775</xdr:colOff>
      <xdr:row>27</xdr:row>
      <xdr:rowOff>604838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FF812E4-B6D6-CECC-5B4A-73868D65C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92050" y="22293263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66675</xdr:colOff>
      <xdr:row>26</xdr:row>
      <xdr:rowOff>481013</xdr:rowOff>
    </xdr:from>
    <xdr:to>
      <xdr:col>21</xdr:col>
      <xdr:colOff>381000</xdr:colOff>
      <xdr:row>27</xdr:row>
      <xdr:rowOff>604838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BB7D0B06-DE13-1417-6EF2-6A6EF9431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8875" y="22293263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609600</xdr:colOff>
      <xdr:row>26</xdr:row>
      <xdr:rowOff>481013</xdr:rowOff>
    </xdr:from>
    <xdr:to>
      <xdr:col>21</xdr:col>
      <xdr:colOff>1647825</xdr:colOff>
      <xdr:row>27</xdr:row>
      <xdr:rowOff>604838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A5315F95-4D46-66EE-C323-64D3F2E332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25700" y="22293263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1143000</xdr:colOff>
      <xdr:row>27</xdr:row>
      <xdr:rowOff>828676</xdr:rowOff>
    </xdr:from>
    <xdr:to>
      <xdr:col>16</xdr:col>
      <xdr:colOff>466725</xdr:colOff>
      <xdr:row>27</xdr:row>
      <xdr:rowOff>1866901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1DD0C64F-AAA2-6E40-37DC-E20C00999C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53800" y="23555326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669925</xdr:colOff>
      <xdr:row>27</xdr:row>
      <xdr:rowOff>828676</xdr:rowOff>
    </xdr:from>
    <xdr:to>
      <xdr:col>19</xdr:col>
      <xdr:colOff>107950</xdr:colOff>
      <xdr:row>27</xdr:row>
      <xdr:rowOff>1866901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F3962F17-29F7-6F8E-C3A8-2D817E6F1E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95225" y="23555326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527050</xdr:colOff>
      <xdr:row>27</xdr:row>
      <xdr:rowOff>2157414</xdr:rowOff>
    </xdr:from>
    <xdr:to>
      <xdr:col>15</xdr:col>
      <xdr:colOff>1565275</xdr:colOff>
      <xdr:row>28</xdr:row>
      <xdr:rowOff>852489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C78D2958-1504-39E6-0311-D5797A816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37850" y="24884064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95603</xdr:colOff>
      <xdr:row>27</xdr:row>
      <xdr:rowOff>2157414</xdr:rowOff>
    </xdr:from>
    <xdr:to>
      <xdr:col>18</xdr:col>
      <xdr:colOff>143228</xdr:colOff>
      <xdr:row>28</xdr:row>
      <xdr:rowOff>852489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8705D76C-A8C6-42B5-FFF9-4BDF5A675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20903" y="24884064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44450</xdr:colOff>
      <xdr:row>27</xdr:row>
      <xdr:rowOff>828676</xdr:rowOff>
    </xdr:from>
    <xdr:to>
      <xdr:col>21</xdr:col>
      <xdr:colOff>358775</xdr:colOff>
      <xdr:row>27</xdr:row>
      <xdr:rowOff>1866901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1652EF6-F28C-E8CD-6828-D68EA02E41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36650" y="23555326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388056</xdr:colOff>
      <xdr:row>27</xdr:row>
      <xdr:rowOff>2157414</xdr:rowOff>
    </xdr:from>
    <xdr:to>
      <xdr:col>20</xdr:col>
      <xdr:colOff>549981</xdr:colOff>
      <xdr:row>28</xdr:row>
      <xdr:rowOff>852489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27DF20A-8EF9-89BE-E67E-B5B4D174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03956" y="24884064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70909</xdr:colOff>
      <xdr:row>27</xdr:row>
      <xdr:rowOff>2157414</xdr:rowOff>
    </xdr:from>
    <xdr:to>
      <xdr:col>21</xdr:col>
      <xdr:colOff>1109134</xdr:colOff>
      <xdr:row>28</xdr:row>
      <xdr:rowOff>852489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27A495BE-20CF-A560-F49E-CF01492E2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87009" y="24884064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0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M29" sqref="M29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43" t="e" vm="1">
        <f>'Cards Src'!E2</f>
        <v>#VALUE!</v>
      </c>
      <c r="D4" s="143"/>
      <c r="E4" s="143"/>
      <c r="F4" s="42"/>
      <c r="H4" s="53"/>
      <c r="I4" s="144" t="e" vm="2">
        <f>'Cards Src'!E3</f>
        <v>#VALUE!</v>
      </c>
      <c r="J4" s="144"/>
      <c r="K4" s="144"/>
      <c r="L4" s="54"/>
      <c r="N4" s="116"/>
      <c r="O4" s="149" t="e" vm="3">
        <f>'Cards Src'!E4</f>
        <v>#VALUE!</v>
      </c>
      <c r="P4" s="149"/>
      <c r="Q4" s="149"/>
      <c r="R4" s="64"/>
      <c r="T4" s="7"/>
      <c r="U4" s="150" t="e" vm="4">
        <f xml:space="preserve"> 'Cards Src'!E5</f>
        <v>#VALUE!</v>
      </c>
      <c r="V4" s="150"/>
      <c r="W4" s="150"/>
      <c r="X4" s="29"/>
    </row>
    <row r="5" spans="2:24" ht="93" customHeight="1" x14ac:dyDescent="0.25">
      <c r="B5" s="41"/>
      <c r="C5" s="137" t="str">
        <f>'Cards Src'!$C2</f>
        <v>Deals damage on contact. Explodes against surfaces</v>
      </c>
      <c r="D5" s="137"/>
      <c r="E5" s="137"/>
      <c r="F5" s="43"/>
      <c r="H5" s="53"/>
      <c r="I5" s="138" t="str">
        <f>'Cards Src'!$C3</f>
        <v>Explodes on contact and freezes enemies. Frozen enemies take 1.5x damage</v>
      </c>
      <c r="J5" s="138"/>
      <c r="K5" s="138"/>
      <c r="L5" s="55"/>
      <c r="N5" s="3"/>
      <c r="O5" s="147" t="str">
        <f>'Cards Src'!C4</f>
        <v>Summons a wave that pushes back all enemies it hits, accumulating damage</v>
      </c>
      <c r="P5" s="147"/>
      <c r="Q5" s="147"/>
      <c r="R5" s="65"/>
      <c r="T5" s="7"/>
      <c r="U5" s="148" t="str">
        <f>'Cards Src'!C5</f>
        <v>Creates a trap area that slows + damages enemies as they move through it</v>
      </c>
      <c r="V5" s="148"/>
      <c r="W5" s="148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6" t="e" vm="5">
        <f>'Cards Src'!E6</f>
        <v>#VALUE!</v>
      </c>
      <c r="D10" s="146"/>
      <c r="E10" s="146"/>
      <c r="F10" s="126"/>
      <c r="H10" s="15"/>
      <c r="I10" s="152" t="e" vm="6">
        <f>'Cards Src'!E7</f>
        <v>#VALUE!</v>
      </c>
      <c r="J10" s="152"/>
      <c r="K10" s="152"/>
      <c r="L10" s="72"/>
      <c r="N10" s="19"/>
      <c r="O10" s="145" t="e" vm="7">
        <f>'Cards Src'!E8</f>
        <v>#VALUE!</v>
      </c>
      <c r="P10" s="145"/>
      <c r="Q10" s="145"/>
      <c r="R10" s="81"/>
      <c r="T10" s="11"/>
      <c r="U10" s="146" t="e" vm="8">
        <f>'Cards Src'!E9</f>
        <v>#VALUE!</v>
      </c>
      <c r="V10" s="146"/>
      <c r="W10" s="146"/>
      <c r="X10" s="122"/>
    </row>
    <row r="11" spans="2:24" ht="93" customHeight="1" x14ac:dyDescent="0.25">
      <c r="B11" s="11"/>
      <c r="C11" s="140" t="str">
        <f>'Cards Src'!$C6</f>
        <v>Casts a bolt of lightning</v>
      </c>
      <c r="D11" s="140"/>
      <c r="E11" s="140"/>
      <c r="F11" s="123"/>
      <c r="H11" s="15"/>
      <c r="I11" s="151" t="str">
        <f>'Cards Src'!$C7</f>
        <v>Vacuums in nearby enemies</v>
      </c>
      <c r="J11" s="151"/>
      <c r="K11" s="151"/>
      <c r="L11" s="73"/>
      <c r="N11" s="19"/>
      <c r="O11" s="139" t="str">
        <f>'Cards Src'!C8</f>
        <v>Flies to the nearest enemy in vision</v>
      </c>
      <c r="P11" s="139"/>
      <c r="Q11" s="139"/>
      <c r="R11" s="82"/>
      <c r="T11" s="11"/>
      <c r="U11" s="140" t="str">
        <f>'Cards Src'!C9</f>
        <v>Casts a tracking bolt of lightning that can chain to close enemies</v>
      </c>
      <c r="V11" s="140"/>
      <c r="W11" s="140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45" t="e" vm="9">
        <f>'Cards Src'!E10</f>
        <v>#VALUE!</v>
      </c>
      <c r="D16" s="145"/>
      <c r="E16" s="145"/>
      <c r="F16" s="81"/>
      <c r="H16" s="107"/>
      <c r="I16" s="154" t="e" vm="10">
        <f>'Cards Src'!E11</f>
        <v>#VALUE!</v>
      </c>
      <c r="J16" s="154"/>
      <c r="K16" s="154"/>
      <c r="L16" s="108"/>
      <c r="N16" s="107"/>
      <c r="O16" s="141" t="e" vm="11">
        <f>'Cards Src'!E12</f>
        <v>#VALUE!</v>
      </c>
      <c r="P16" s="141"/>
      <c r="Q16" s="141"/>
      <c r="R16" s="108"/>
      <c r="T16" s="107"/>
      <c r="U16" s="141" t="e" vm="12">
        <f xml:space="preserve"> 'Cards Src'!E13</f>
        <v>#VALUE!</v>
      </c>
      <c r="V16" s="141"/>
      <c r="W16" s="141"/>
      <c r="X16" s="108"/>
    </row>
    <row r="17" spans="2:24" ht="93" customHeight="1" x14ac:dyDescent="0.25">
      <c r="B17" s="19"/>
      <c r="C17" s="153" t="str">
        <f>'Cards Src'!$C10</f>
        <v>Creates an area on the ground that damages to enemies within it. Mark any enemy to deal damage to the enemy proportional to the time spent once finishes</v>
      </c>
      <c r="D17" s="153"/>
      <c r="E17" s="153"/>
      <c r="F17" s="82"/>
      <c r="H17" s="107"/>
      <c r="I17" s="142" t="str">
        <f>'Cards Src'!$C11</f>
        <v>Increases player movement speed for a set duration</v>
      </c>
      <c r="J17" s="142"/>
      <c r="K17" s="142"/>
      <c r="L17" s="110"/>
      <c r="N17" s="107"/>
      <c r="O17" s="142" t="str">
        <f>'Cards Src'!C12</f>
        <v>Enemies are temporarily slowed on hit for a set duration.</v>
      </c>
      <c r="P17" s="142"/>
      <c r="Q17" s="142"/>
      <c r="R17" s="110"/>
      <c r="T17" s="107"/>
      <c r="U17" s="142" t="str">
        <f>'Cards Src'!C13</f>
        <v>Randomly swap two cards in the current hand with cards in the deck</v>
      </c>
      <c r="V17" s="142"/>
      <c r="W17" s="142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41" t="e" vm="13">
        <f>'Cards Src'!E14</f>
        <v>#VALUE!</v>
      </c>
      <c r="D22" s="141"/>
      <c r="E22" s="141"/>
      <c r="F22" s="108"/>
      <c r="H22" s="107"/>
      <c r="I22" s="141" t="e" vm="14">
        <f>'Cards Src'!E15</f>
        <v>#VALUE!</v>
      </c>
      <c r="J22" s="141"/>
      <c r="K22" s="141"/>
      <c r="L22" s="108"/>
      <c r="N22" s="107"/>
      <c r="O22" s="141" t="e" vm="15">
        <f>'Cards Src'!E16</f>
        <v>#VALUE!</v>
      </c>
      <c r="P22" s="141"/>
      <c r="Q22" s="141"/>
      <c r="R22" s="108"/>
      <c r="T22" s="107"/>
      <c r="U22" s="141" t="e" vm="16">
        <f xml:space="preserve"> 'Cards Src'!E17</f>
        <v>#VALUE!</v>
      </c>
      <c r="V22" s="141"/>
      <c r="W22" s="141"/>
      <c r="X22" s="108"/>
    </row>
    <row r="23" spans="2:24" ht="93" customHeight="1" x14ac:dyDescent="0.25">
      <c r="B23" s="107"/>
      <c r="C23" s="142" t="str">
        <f>'Cards Src'!$C14</f>
        <v>Randomly shuffle two cards from the discard pile back into the deck</v>
      </c>
      <c r="D23" s="142"/>
      <c r="E23" s="142"/>
      <c r="F23" s="110"/>
      <c r="H23" s="107"/>
      <c r="I23" s="142" t="str">
        <f>'Cards Src'!$C15</f>
        <v>Negate x number of hits</v>
      </c>
      <c r="J23" s="142"/>
      <c r="K23" s="142"/>
      <c r="L23" s="110"/>
      <c r="N23" s="107"/>
      <c r="O23" s="155" t="str">
        <f>'Cards Src'!C16</f>
        <v>For a temporary amount of time, causes the player's dashes to push enemies away slightly and inflict damage</v>
      </c>
      <c r="P23" s="155"/>
      <c r="Q23" s="155"/>
      <c r="R23" s="110"/>
      <c r="T23" s="107"/>
      <c r="U23" s="142" t="str">
        <f>'Cards Src'!C17</f>
        <v>Increase damage of your weapon by x for a certain amount of time</v>
      </c>
      <c r="V23" s="142"/>
      <c r="W23" s="142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41" t="e" vm="17">
        <f>'Cards Src'!E18</f>
        <v>#VALUE!</v>
      </c>
      <c r="D28" s="141"/>
      <c r="E28" s="141"/>
      <c r="F28" s="108"/>
      <c r="H28" s="107"/>
      <c r="I28" s="141" t="e" vm="18">
        <f>'Cards Src'!E19</f>
        <v>#VALUE!</v>
      </c>
      <c r="J28" s="141"/>
      <c r="K28" s="141"/>
      <c r="L28" s="108"/>
      <c r="N28" s="94"/>
      <c r="O28" s="157">
        <f>'Cards Src'!E20</f>
        <v>0</v>
      </c>
      <c r="P28" s="157"/>
      <c r="Q28" s="157"/>
      <c r="R28" s="95"/>
      <c r="T28" s="94"/>
      <c r="U28" s="157">
        <f xml:space="preserve"> 'Cards Src'!E21</f>
        <v>0</v>
      </c>
      <c r="V28" s="157"/>
      <c r="W28" s="157"/>
      <c r="X28" s="95"/>
    </row>
    <row r="29" spans="2:24" ht="93" customHeight="1" x14ac:dyDescent="0.25">
      <c r="B29" s="107"/>
      <c r="C29" s="142" t="str">
        <f>'Cards Src'!$C18</f>
        <v>Recall last used card into deck</v>
      </c>
      <c r="D29" s="142"/>
      <c r="E29" s="142"/>
      <c r="F29" s="110"/>
      <c r="H29" s="107"/>
      <c r="I29" s="142" t="str">
        <f>'Cards Src'!$C19</f>
        <v>Draw 2 cards</v>
      </c>
      <c r="J29" s="142"/>
      <c r="K29" s="142"/>
      <c r="L29" s="110"/>
      <c r="N29" s="94"/>
      <c r="O29" s="156">
        <f>'Cards Src'!C20</f>
        <v>0</v>
      </c>
      <c r="P29" s="156"/>
      <c r="Q29" s="156"/>
      <c r="R29" s="96"/>
      <c r="T29" s="94"/>
      <c r="U29" s="156">
        <f>'Cards Src'!C21</f>
        <v>0</v>
      </c>
      <c r="V29" s="156"/>
      <c r="W29" s="156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opLeftCell="A5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J8" sqref="J8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8"/>
  <sheetViews>
    <sheetView showGridLines="0" topLeftCell="A4" zoomScaleNormal="100" workbookViewId="0">
      <selection activeCell="C6" sqref="C6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  <row r="7" spans="1:4" ht="50.1" customHeight="1" x14ac:dyDescent="0.25">
      <c r="A7" s="21" t="s">
        <v>58</v>
      </c>
      <c r="C7" s="130"/>
      <c r="D7" s="21"/>
    </row>
    <row r="8" spans="1:4" ht="393" customHeight="1" x14ac:dyDescent="0.25">
      <c r="A8" t="e" vm="70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2026-03-04T21:19:50Z</dcterms:modified>
</cp:coreProperties>
</file>