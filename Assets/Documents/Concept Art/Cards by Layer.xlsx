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willc\My Stuff\School\CSC 486C\Assets\"/>
    </mc:Choice>
  </mc:AlternateContent>
  <xr:revisionPtr revIDLastSave="0" documentId="13_ncr:1_{1708B11C-37AC-4123-B6B7-A82DC0A348B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Cards" sheetId="15" r:id="rId1"/>
    <sheet name="Src" sheetId="14" r:id="rId2"/>
    <sheet name="Attack" sheetId="10" r:id="rId3"/>
    <sheet name="Modify" sheetId="8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9" i="15" l="1"/>
  <c r="V28" i="15"/>
  <c r="V27" i="15"/>
  <c r="O29" i="15"/>
  <c r="P28" i="15"/>
  <c r="P27" i="15"/>
  <c r="I29" i="15"/>
  <c r="J28" i="15"/>
  <c r="J27" i="15"/>
  <c r="C29" i="15"/>
  <c r="C28" i="15"/>
  <c r="D27" i="15"/>
  <c r="U23" i="15"/>
  <c r="V22" i="15"/>
  <c r="V21" i="15"/>
  <c r="O23" i="15"/>
  <c r="P22" i="15"/>
  <c r="P21" i="15"/>
  <c r="I23" i="15"/>
  <c r="J22" i="15"/>
  <c r="J21" i="15"/>
  <c r="C23" i="15"/>
  <c r="C22" i="15"/>
  <c r="D21" i="15"/>
  <c r="U17" i="15"/>
  <c r="V16" i="15"/>
  <c r="V15" i="15"/>
  <c r="O17" i="15"/>
  <c r="P16" i="15"/>
  <c r="P15" i="15"/>
  <c r="I17" i="15"/>
  <c r="J16" i="15"/>
  <c r="J15" i="15"/>
  <c r="C17" i="15"/>
  <c r="C16" i="15"/>
  <c r="D15" i="15"/>
  <c r="U11" i="15"/>
  <c r="V10" i="15"/>
  <c r="V9" i="15"/>
  <c r="O11" i="15"/>
  <c r="P10" i="15"/>
  <c r="P9" i="15"/>
  <c r="J10" i="15"/>
  <c r="I11" i="15"/>
  <c r="J9" i="15"/>
  <c r="C11" i="15"/>
  <c r="C10" i="15"/>
  <c r="V4" i="15"/>
  <c r="P4" i="15"/>
  <c r="J4" i="15"/>
  <c r="D9" i="15"/>
  <c r="C4" i="15"/>
  <c r="U5" i="15"/>
  <c r="O5" i="15"/>
  <c r="V3" i="15"/>
  <c r="P3" i="15"/>
  <c r="I5" i="15"/>
  <c r="J3" i="15"/>
  <c r="C5" i="15"/>
  <c r="D3" i="15"/>
  <c r="D7" i="10"/>
  <c r="E3" i="10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<sst xmlns="http://schemas.openxmlformats.org/spreadsheetml/2006/main" count="78" uniqueCount="50">
  <si>
    <t>FIREBALL</t>
  </si>
  <si>
    <t>Borders</t>
  </si>
  <si>
    <t>Card Name</t>
  </si>
  <si>
    <t>Card Description</t>
  </si>
  <si>
    <t>Type</t>
  </si>
  <si>
    <t>Attack</t>
  </si>
  <si>
    <t>Element</t>
  </si>
  <si>
    <t>Fire</t>
  </si>
  <si>
    <t>Electric</t>
  </si>
  <si>
    <t>Water</t>
  </si>
  <si>
    <t>Plant</t>
  </si>
  <si>
    <t>Dark</t>
  </si>
  <si>
    <t>Light</t>
  </si>
  <si>
    <t>Modify</t>
  </si>
  <si>
    <t>TIDAL WAVE</t>
  </si>
  <si>
    <t>BRAMBLE SNARE</t>
  </si>
  <si>
    <t>ASTRAL DAGGER</t>
  </si>
  <si>
    <t>LIGHTNING BOLT</t>
  </si>
  <si>
    <t>Art</t>
  </si>
  <si>
    <t>Elements</t>
  </si>
  <si>
    <t>FROST NOVA</t>
  </si>
  <si>
    <t>Deals damage on contact. Explodes against surfaces</t>
  </si>
  <si>
    <t>Explodes on contact and freezes enemies. Frozen enemies take 1.5x damage</t>
  </si>
  <si>
    <t>Ice</t>
  </si>
  <si>
    <t>Summons a wave that pushes back all enemies it hits, accumulating damage</t>
  </si>
  <si>
    <t>Flies to the nearest enemy in vision</t>
  </si>
  <si>
    <t>Creates a trap area that slows + damages enemies as they move through it</t>
  </si>
  <si>
    <t>BLACK HOLE</t>
  </si>
  <si>
    <t>CHAIN LIGHTNING</t>
  </si>
  <si>
    <t>DIVINE JUDGEMENT</t>
  </si>
  <si>
    <t>Casts a bolt of lightning</t>
  </si>
  <si>
    <t>Vacuums in nearby enemies</t>
  </si>
  <si>
    <t>Casts a tracking bolt of lightning that can chain to close enemies</t>
  </si>
  <si>
    <t>Creates an area on the ground that damages to enemies within it. Mark any enemy to deal damage to the enemy proportional to the time spent once finishes</t>
  </si>
  <si>
    <t>Haste</t>
  </si>
  <si>
    <t>HINDER</t>
  </si>
  <si>
    <t>MULLIGAN</t>
  </si>
  <si>
    <t>BUT WAIT, THERE'S MORE</t>
  </si>
  <si>
    <t>MANA SHIELD</t>
  </si>
  <si>
    <t>RUNAWAY BULL</t>
  </si>
  <si>
    <t>HOLY BLADE</t>
  </si>
  <si>
    <t>Increases player movement speed for a set duration</t>
  </si>
  <si>
    <t>Enemies are temporarily slowed on hit for a set duration.</t>
  </si>
  <si>
    <t>Randomly swap two cards in the current hand with cards in the deck</t>
  </si>
  <si>
    <t>Randomly shuffle two cards from the discard pile back into the deck</t>
  </si>
  <si>
    <t>Negate x number of hits</t>
  </si>
  <si>
    <t>For a temporary amount of time, causes the player's dashes to push enemies away slightly and inflict damage</t>
  </si>
  <si>
    <t>Increase damage of your weapon by x for a certain amount of time</t>
  </si>
  <si>
    <t>Buff</t>
  </si>
  <si>
    <t>Draw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</si>
</sst>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sz val="36"/>
      <color theme="1"/>
      <name val="Calibri"/>
      <family val="2"/>
      <scheme val="minor"/>
    </font>
    <font>
      <b/>
      <sz val="72"/>
      <color theme="1"/>
      <name val="Calibri"/>
      <family val="2"/>
      <scheme val="minor"/>
    </font>
    <font>
      <sz val="72"/>
      <color theme="1"/>
      <name val="Germania One"/>
      <family val="2"/>
    </font>
    <font>
      <sz val="36"/>
      <color theme="1"/>
      <name val="Germania One"/>
      <family val="2"/>
    </font>
    <font>
      <sz val="28"/>
      <color theme="1"/>
      <name val="Germania One"/>
      <family val="2"/>
    </font>
    <font>
      <sz val="24"/>
      <color theme="1"/>
      <name val="Germania One"/>
      <family val="2"/>
    </font>
    <font>
      <sz val="22"/>
      <color theme="1"/>
      <name val="Germania One"/>
      <family val="2"/>
    </font>
    <font>
      <sz val="26"/>
      <color theme="1"/>
      <name val="Germania One"/>
      <family val="2"/>
    </font>
    <font>
      <sz val="22"/>
      <color theme="0"/>
      <name val="Germania One"/>
      <family val="2"/>
    </font>
    <font>
      <sz val="28"/>
      <color theme="0"/>
      <name val="Germania One"/>
      <family val="2"/>
    </font>
  </fonts>
  <fills count="15">
    <fill>
      <patternFill patternType="none"/>
    </fill>
    <fill>
      <patternFill patternType="gray125"/>
    </fill>
    <fill>
      <patternFill patternType="solid">
        <fgColor rgb="FFFF9999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37343E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737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DBCABD"/>
        <bgColor indexed="64"/>
      </patternFill>
    </fill>
    <fill>
      <patternFill patternType="solid">
        <fgColor theme="3" tint="0.79998168889431442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63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2" fillId="0" borderId="0" xfId="0" applyFont="1" applyAlignment="1">
      <alignment horizontal="center" vertical="center"/>
    </xf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8" xfId="0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0" fontId="0" fillId="3" borderId="8" xfId="0" applyFill="1" applyBorder="1"/>
    <xf numFmtId="0" fontId="0" fillId="4" borderId="1" xfId="0" applyFill="1" applyBorder="1"/>
    <xf numFmtId="0" fontId="0" fillId="4" borderId="2" xfId="0" applyFill="1" applyBorder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4" borderId="6" xfId="0" applyFill="1" applyBorder="1"/>
    <xf numFmtId="0" fontId="0" fillId="4" borderId="8" xfId="0" applyFill="1" applyBorder="1"/>
    <xf numFmtId="0" fontId="0" fillId="5" borderId="1" xfId="0" applyFill="1" applyBorder="1"/>
    <xf numFmtId="0" fontId="0" fillId="5" borderId="2" xfId="0" applyFill="1" applyBorder="1"/>
    <xf numFmtId="0" fontId="0" fillId="5" borderId="3" xfId="0" applyFill="1" applyBorder="1"/>
    <xf numFmtId="0" fontId="0" fillId="5" borderId="4" xfId="0" applyFill="1" applyBorder="1"/>
    <xf numFmtId="0" fontId="0" fillId="5" borderId="5" xfId="0" applyFill="1" applyBorder="1"/>
    <xf numFmtId="0" fontId="0" fillId="5" borderId="6" xfId="0" applyFill="1" applyBorder="1"/>
    <xf numFmtId="0" fontId="0" fillId="5" borderId="8" xfId="0" applyFill="1" applyBorder="1"/>
    <xf numFmtId="0" fontId="0" fillId="6" borderId="1" xfId="0" applyFill="1" applyBorder="1"/>
    <xf numFmtId="0" fontId="0" fillId="6" borderId="2" xfId="0" applyFill="1" applyBorder="1"/>
    <xf numFmtId="0" fontId="0" fillId="6" borderId="3" xfId="0" applyFill="1" applyBorder="1"/>
    <xf numFmtId="0" fontId="0" fillId="6" borderId="4" xfId="0" applyFill="1" applyBorder="1"/>
    <xf numFmtId="0" fontId="0" fillId="6" borderId="5" xfId="0" applyFill="1" applyBorder="1"/>
    <xf numFmtId="0" fontId="0" fillId="6" borderId="6" xfId="0" applyFill="1" applyBorder="1"/>
    <xf numFmtId="0" fontId="0" fillId="6" borderId="8" xfId="0" applyFill="1" applyBorder="1"/>
    <xf numFmtId="0" fontId="0" fillId="7" borderId="1" xfId="0" applyFill="1" applyBorder="1"/>
    <xf numFmtId="0" fontId="0" fillId="7" borderId="2" xfId="0" applyFill="1" applyBorder="1"/>
    <xf numFmtId="0" fontId="0" fillId="7" borderId="3" xfId="0" applyFill="1" applyBorder="1"/>
    <xf numFmtId="0" fontId="0" fillId="7" borderId="4" xfId="0" applyFill="1" applyBorder="1"/>
    <xf numFmtId="0" fontId="0" fillId="7" borderId="5" xfId="0" applyFill="1" applyBorder="1"/>
    <xf numFmtId="0" fontId="0" fillId="7" borderId="6" xfId="0" applyFill="1" applyBorder="1"/>
    <xf numFmtId="0" fontId="0" fillId="7" borderId="8" xfId="0" applyFill="1" applyBorder="1"/>
    <xf numFmtId="0" fontId="0" fillId="8" borderId="1" xfId="0" applyFill="1" applyBorder="1"/>
    <xf numFmtId="0" fontId="0" fillId="8" borderId="2" xfId="0" applyFill="1" applyBorder="1"/>
    <xf numFmtId="0" fontId="0" fillId="8" borderId="3" xfId="0" applyFill="1" applyBorder="1"/>
    <xf numFmtId="0" fontId="0" fillId="8" borderId="4" xfId="0" applyFill="1" applyBorder="1"/>
    <xf numFmtId="0" fontId="0" fillId="8" borderId="5" xfId="0" applyFill="1" applyBorder="1"/>
    <xf numFmtId="0" fontId="0" fillId="8" borderId="6" xfId="0" applyFill="1" applyBorder="1"/>
    <xf numFmtId="0" fontId="0" fillId="8" borderId="8" xfId="0" applyFill="1" applyBorder="1"/>
    <xf numFmtId="0" fontId="0" fillId="0" borderId="0" xfId="0" applyAlignment="1">
      <alignment vertical="center"/>
    </xf>
    <xf numFmtId="0" fontId="0" fillId="0" borderId="12" xfId="0" applyBorder="1"/>
    <xf numFmtId="0" fontId="0" fillId="0" borderId="10" xfId="0" applyBorder="1" applyAlignment="1">
      <alignment vertical="center"/>
    </xf>
    <xf numFmtId="0" fontId="0" fillId="0" borderId="10" xfId="0" applyBorder="1"/>
    <xf numFmtId="0" fontId="0" fillId="8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3" fillId="2" borderId="5" xfId="0" applyFont="1" applyFill="1" applyBorder="1" applyAlignment="1">
      <alignment vertical="center" wrapText="1"/>
    </xf>
    <xf numFmtId="0" fontId="0" fillId="9" borderId="1" xfId="0" applyFill="1" applyBorder="1"/>
    <xf numFmtId="0" fontId="0" fillId="9" borderId="2" xfId="0" applyFill="1" applyBorder="1"/>
    <xf numFmtId="0" fontId="6" fillId="9" borderId="3" xfId="0" applyFont="1" applyFill="1" applyBorder="1" applyAlignment="1">
      <alignment horizontal="center" vertical="top"/>
    </xf>
    <xf numFmtId="0" fontId="0" fillId="9" borderId="4" xfId="0" applyFill="1" applyBorder="1" applyAlignment="1">
      <alignment vertical="center"/>
    </xf>
    <xf numFmtId="0" fontId="6" fillId="9" borderId="0" xfId="0" applyFont="1" applyFill="1" applyAlignment="1">
      <alignment horizontal="center" vertical="center"/>
    </xf>
    <xf numFmtId="0" fontId="6" fillId="9" borderId="5" xfId="0" applyFont="1" applyFill="1" applyBorder="1" applyAlignment="1">
      <alignment horizontal="center" vertical="center"/>
    </xf>
    <xf numFmtId="0" fontId="0" fillId="9" borderId="4" xfId="0" applyFill="1" applyBorder="1"/>
    <xf numFmtId="0" fontId="0" fillId="9" borderId="0" xfId="0" applyFill="1"/>
    <xf numFmtId="0" fontId="6" fillId="9" borderId="5" xfId="0" applyFont="1" applyFill="1" applyBorder="1" applyAlignment="1">
      <alignment horizontal="center" vertical="top"/>
    </xf>
    <xf numFmtId="0" fontId="8" fillId="9" borderId="5" xfId="0" applyFont="1" applyFill="1" applyBorder="1" applyAlignment="1">
      <alignment horizontal="center" vertical="center" wrapText="1"/>
    </xf>
    <xf numFmtId="0" fontId="0" fillId="9" borderId="6" xfId="0" applyFill="1" applyBorder="1"/>
    <xf numFmtId="0" fontId="0" fillId="9" borderId="7" xfId="0" applyFill="1" applyBorder="1"/>
    <xf numFmtId="0" fontId="6" fillId="9" borderId="8" xfId="0" applyFont="1" applyFill="1" applyBorder="1" applyAlignment="1">
      <alignment horizontal="center" vertical="top"/>
    </xf>
    <xf numFmtId="0" fontId="6" fillId="4" borderId="3" xfId="0" applyFont="1" applyFill="1" applyBorder="1" applyAlignment="1">
      <alignment horizontal="center" vertical="top"/>
    </xf>
    <xf numFmtId="0" fontId="0" fillId="4" borderId="4" xfId="0" applyFill="1" applyBorder="1" applyAlignment="1">
      <alignment vertical="center"/>
    </xf>
    <xf numFmtId="0" fontId="6" fillId="4" borderId="0" xfId="0" applyFont="1" applyFill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0" fontId="0" fillId="4" borderId="0" xfId="0" applyFill="1"/>
    <xf numFmtId="0" fontId="6" fillId="4" borderId="5" xfId="0" applyFont="1" applyFill="1" applyBorder="1" applyAlignment="1">
      <alignment horizontal="center" vertical="top"/>
    </xf>
    <xf numFmtId="0" fontId="8" fillId="4" borderId="5" xfId="0" applyFont="1" applyFill="1" applyBorder="1" applyAlignment="1">
      <alignment horizontal="center" vertical="center" wrapText="1"/>
    </xf>
    <xf numFmtId="0" fontId="0" fillId="4" borderId="7" xfId="0" applyFill="1" applyBorder="1"/>
    <xf numFmtId="0" fontId="6" fillId="4" borderId="8" xfId="0" applyFont="1" applyFill="1" applyBorder="1" applyAlignment="1">
      <alignment horizontal="center" vertical="top"/>
    </xf>
    <xf numFmtId="0" fontId="7" fillId="4" borderId="0" xfId="0" applyFont="1" applyFill="1" applyAlignment="1">
      <alignment horizontal="center" vertical="center" wrapText="1"/>
    </xf>
    <xf numFmtId="0" fontId="0" fillId="0" borderId="10" xfId="0" applyBorder="1" applyAlignment="1">
      <alignment horizontal="left" vertical="center"/>
    </xf>
    <xf numFmtId="0" fontId="0" fillId="10" borderId="1" xfId="0" applyFill="1" applyBorder="1"/>
    <xf numFmtId="0" fontId="0" fillId="10" borderId="2" xfId="0" applyFill="1" applyBorder="1"/>
    <xf numFmtId="0" fontId="6" fillId="10" borderId="3" xfId="0" applyFont="1" applyFill="1" applyBorder="1" applyAlignment="1">
      <alignment horizontal="center" vertical="top"/>
    </xf>
    <xf numFmtId="0" fontId="0" fillId="10" borderId="4" xfId="0" applyFill="1" applyBorder="1" applyAlignment="1">
      <alignment vertical="center"/>
    </xf>
    <xf numFmtId="0" fontId="6" fillId="10" borderId="0" xfId="0" applyFont="1" applyFill="1" applyAlignment="1">
      <alignment horizontal="center" vertical="center"/>
    </xf>
    <xf numFmtId="0" fontId="6" fillId="10" borderId="5" xfId="0" applyFont="1" applyFill="1" applyBorder="1" applyAlignment="1">
      <alignment horizontal="center" vertical="center"/>
    </xf>
    <xf numFmtId="0" fontId="0" fillId="10" borderId="4" xfId="0" applyFill="1" applyBorder="1"/>
    <xf numFmtId="0" fontId="6" fillId="10" borderId="5" xfId="0" applyFont="1" applyFill="1" applyBorder="1" applyAlignment="1">
      <alignment horizontal="center" vertical="top"/>
    </xf>
    <xf numFmtId="0" fontId="8" fillId="10" borderId="5" xfId="0" applyFont="1" applyFill="1" applyBorder="1" applyAlignment="1">
      <alignment horizontal="center" vertical="center" wrapText="1"/>
    </xf>
    <xf numFmtId="0" fontId="0" fillId="10" borderId="6" xfId="0" applyFill="1" applyBorder="1"/>
    <xf numFmtId="0" fontId="0" fillId="10" borderId="7" xfId="0" applyFill="1" applyBorder="1"/>
    <xf numFmtId="0" fontId="6" fillId="10" borderId="8" xfId="0" applyFont="1" applyFill="1" applyBorder="1" applyAlignment="1">
      <alignment horizontal="center" vertical="top"/>
    </xf>
    <xf numFmtId="0" fontId="0" fillId="0" borderId="10" xfId="0" applyBorder="1" applyAlignment="1">
      <alignment horizontal="right" vertical="center"/>
    </xf>
    <xf numFmtId="0" fontId="7" fillId="9" borderId="0" xfId="0" applyFont="1" applyFill="1" applyAlignment="1">
      <alignment horizontal="center" vertical="center" wrapText="1"/>
    </xf>
    <xf numFmtId="0" fontId="0" fillId="11" borderId="1" xfId="0" applyFill="1" applyBorder="1"/>
    <xf numFmtId="0" fontId="0" fillId="11" borderId="2" xfId="0" applyFill="1" applyBorder="1"/>
    <xf numFmtId="0" fontId="6" fillId="11" borderId="3" xfId="0" applyFont="1" applyFill="1" applyBorder="1" applyAlignment="1">
      <alignment horizontal="center" vertical="top"/>
    </xf>
    <xf numFmtId="0" fontId="0" fillId="11" borderId="4" xfId="0" applyFill="1" applyBorder="1" applyAlignment="1">
      <alignment vertical="center"/>
    </xf>
    <xf numFmtId="0" fontId="6" fillId="11" borderId="0" xfId="0" applyFont="1" applyFill="1" applyAlignment="1">
      <alignment horizontal="center" vertical="center"/>
    </xf>
    <xf numFmtId="0" fontId="6" fillId="11" borderId="5" xfId="0" applyFont="1" applyFill="1" applyBorder="1" applyAlignment="1">
      <alignment horizontal="center" vertical="center"/>
    </xf>
    <xf numFmtId="0" fontId="0" fillId="11" borderId="4" xfId="0" applyFill="1" applyBorder="1"/>
    <xf numFmtId="0" fontId="0" fillId="11" borderId="0" xfId="0" applyFill="1"/>
    <xf numFmtId="0" fontId="6" fillId="11" borderId="5" xfId="0" applyFont="1" applyFill="1" applyBorder="1" applyAlignment="1">
      <alignment horizontal="center" vertical="top"/>
    </xf>
    <xf numFmtId="0" fontId="8" fillId="11" borderId="5" xfId="0" applyFont="1" applyFill="1" applyBorder="1" applyAlignment="1">
      <alignment horizontal="center" vertical="center" wrapText="1"/>
    </xf>
    <xf numFmtId="0" fontId="0" fillId="11" borderId="6" xfId="0" applyFill="1" applyBorder="1"/>
    <xf numFmtId="0" fontId="0" fillId="11" borderId="7" xfId="0" applyFill="1" applyBorder="1"/>
    <xf numFmtId="0" fontId="6" fillId="11" borderId="8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/>
    </xf>
    <xf numFmtId="0" fontId="0" fillId="3" borderId="4" xfId="0" applyFill="1" applyBorder="1" applyAlignment="1">
      <alignment vertical="center"/>
    </xf>
    <xf numFmtId="0" fontId="6" fillId="3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/>
    </xf>
    <xf numFmtId="0" fontId="0" fillId="3" borderId="0" xfId="0" applyFill="1"/>
    <xf numFmtId="0" fontId="6" fillId="3" borderId="5" xfId="0" applyFont="1" applyFill="1" applyBorder="1" applyAlignment="1">
      <alignment horizontal="center" vertical="top"/>
    </xf>
    <xf numFmtId="0" fontId="8" fillId="3" borderId="5" xfId="0" applyFont="1" applyFill="1" applyBorder="1" applyAlignment="1">
      <alignment horizontal="center" vertical="center" wrapText="1"/>
    </xf>
    <xf numFmtId="0" fontId="0" fillId="3" borderId="7" xfId="0" applyFill="1" applyBorder="1"/>
    <xf numFmtId="0" fontId="6" fillId="3" borderId="8" xfId="0" applyFont="1" applyFill="1" applyBorder="1" applyAlignment="1">
      <alignment horizontal="center" vertical="top"/>
    </xf>
    <xf numFmtId="0" fontId="0" fillId="11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6" fillId="7" borderId="3" xfId="0" applyFont="1" applyFill="1" applyBorder="1" applyAlignment="1">
      <alignment horizontal="center" vertical="top"/>
    </xf>
    <xf numFmtId="0" fontId="0" fillId="7" borderId="4" xfId="0" applyFill="1" applyBorder="1" applyAlignment="1">
      <alignment vertical="center"/>
    </xf>
    <xf numFmtId="0" fontId="6" fillId="7" borderId="0" xfId="0" applyFont="1" applyFill="1" applyAlignment="1">
      <alignment horizontal="center" vertical="center"/>
    </xf>
    <xf numFmtId="0" fontId="6" fillId="7" borderId="5" xfId="0" applyFont="1" applyFill="1" applyBorder="1" applyAlignment="1">
      <alignment horizontal="center" vertical="center"/>
    </xf>
    <xf numFmtId="0" fontId="0" fillId="7" borderId="0" xfId="0" applyFill="1"/>
    <xf numFmtId="0" fontId="6" fillId="7" borderId="5" xfId="0" applyFont="1" applyFill="1" applyBorder="1" applyAlignment="1">
      <alignment horizontal="center" vertical="top"/>
    </xf>
    <xf numFmtId="0" fontId="8" fillId="7" borderId="5" xfId="0" applyFont="1" applyFill="1" applyBorder="1" applyAlignment="1">
      <alignment horizontal="center" vertical="center" wrapText="1"/>
    </xf>
    <xf numFmtId="0" fontId="0" fillId="7" borderId="7" xfId="0" applyFill="1" applyBorder="1"/>
    <xf numFmtId="0" fontId="6" fillId="7" borderId="8" xfId="0" applyFont="1" applyFill="1" applyBorder="1" applyAlignment="1">
      <alignment horizontal="center" vertical="top"/>
    </xf>
    <xf numFmtId="0" fontId="6" fillId="8" borderId="3" xfId="0" applyFont="1" applyFill="1" applyBorder="1" applyAlignment="1">
      <alignment horizontal="center" vertical="top"/>
    </xf>
    <xf numFmtId="0" fontId="0" fillId="8" borderId="4" xfId="0" applyFill="1" applyBorder="1" applyAlignment="1">
      <alignment vertical="center"/>
    </xf>
    <xf numFmtId="0" fontId="6" fillId="8" borderId="0" xfId="0" applyFont="1" applyFill="1" applyAlignment="1">
      <alignment horizontal="center" vertical="center"/>
    </xf>
    <xf numFmtId="0" fontId="10" fillId="8" borderId="0" xfId="0" applyFont="1" applyFill="1" applyAlignment="1">
      <alignment horizontal="center" vertical="center" wrapText="1"/>
    </xf>
    <xf numFmtId="0" fontId="6" fillId="8" borderId="5" xfId="0" applyFont="1" applyFill="1" applyBorder="1" applyAlignment="1">
      <alignment horizontal="center" vertical="center"/>
    </xf>
    <xf numFmtId="0" fontId="0" fillId="8" borderId="0" xfId="0" applyFill="1"/>
    <xf numFmtId="0" fontId="6" fillId="8" borderId="5" xfId="0" applyFont="1" applyFill="1" applyBorder="1" applyAlignment="1">
      <alignment horizontal="center" vertical="top"/>
    </xf>
    <xf numFmtId="0" fontId="8" fillId="8" borderId="5" xfId="0" applyFont="1" applyFill="1" applyBorder="1" applyAlignment="1">
      <alignment horizontal="center" vertical="center" wrapText="1"/>
    </xf>
    <xf numFmtId="0" fontId="0" fillId="8" borderId="7" xfId="0" applyFill="1" applyBorder="1"/>
    <xf numFmtId="0" fontId="6" fillId="8" borderId="8" xfId="0" applyFont="1" applyFill="1" applyBorder="1" applyAlignment="1">
      <alignment horizontal="center" vertical="top"/>
    </xf>
    <xf numFmtId="0" fontId="7" fillId="11" borderId="0" xfId="0" applyFont="1" applyFill="1" applyAlignment="1">
      <alignment horizontal="center" vertical="center"/>
    </xf>
    <xf numFmtId="0" fontId="12" fillId="7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9" fillId="8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/>
    </xf>
    <xf numFmtId="0" fontId="9" fillId="9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center" vertical="center" wrapText="1"/>
    </xf>
    <xf numFmtId="0" fontId="0" fillId="10" borderId="0" xfId="0" applyFill="1" applyAlignment="1">
      <alignment horizontal="center" vertical="center"/>
    </xf>
    <xf numFmtId="0" fontId="9" fillId="10" borderId="0" xfId="0" applyFont="1" applyFill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4" borderId="0" xfId="0" applyFont="1" applyFill="1" applyAlignment="1">
      <alignment horizontal="center" vertical="center" wrapText="1"/>
    </xf>
    <xf numFmtId="0" fontId="0" fillId="7" borderId="0" xfId="0" applyFill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8" borderId="7" xfId="0" applyFill="1" applyBorder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8" borderId="0" xfId="0" applyFont="1" applyFill="1" applyAlignment="1">
      <alignment horizontal="center" vertical="center" wrapText="1"/>
    </xf>
    <xf numFmtId="0" fontId="3" fillId="8" borderId="5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4" fillId="0" borderId="2" xfId="0" applyFont="1" applyBorder="1" applyAlignment="1">
      <alignment horizontal="center" vertical="top"/>
    </xf>
    <xf numFmtId="0" fontId="4" fillId="0" borderId="0" xfId="0" applyFont="1" applyAlignment="1">
      <alignment horizontal="center" vertical="top"/>
    </xf>
    <xf numFmtId="0" fontId="4" fillId="0" borderId="12" xfId="0" applyFont="1" applyBorder="1" applyAlignment="1">
      <alignment horizontal="center" vertical="top"/>
    </xf>
    <xf numFmtId="0" fontId="1" fillId="0" borderId="9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8" borderId="0" xfId="0" applyFont="1" applyFill="1" applyAlignment="1">
      <alignment horizontal="center"/>
    </xf>
    <xf numFmtId="0" fontId="4" fillId="8" borderId="2" xfId="0" applyFont="1" applyFill="1" applyBorder="1" applyAlignment="1">
      <alignment horizontal="center" vertical="top"/>
    </xf>
    <xf numFmtId="0" fontId="4" fillId="8" borderId="0" xfId="0" applyFont="1" applyFill="1" applyAlignment="1">
      <alignment horizontal="center" vertical="top"/>
    </xf>
    <xf numFmtId="0" fontId="0" fillId="6" borderId="0" xfId="0" applyFill="1" applyAlignment="1">
      <alignment horizontal="center" vertical="center"/>
    </xf>
    <xf numFmtId="0" fontId="0" fillId="7" borderId="7" xfId="0" applyFill="1" applyBorder="1" applyAlignment="1">
      <alignment horizontal="center"/>
    </xf>
    <xf numFmtId="0" fontId="3" fillId="7" borderId="0" xfId="0" applyFont="1" applyFill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4" fillId="6" borderId="2" xfId="0" applyFont="1" applyFill="1" applyBorder="1" applyAlignment="1">
      <alignment horizontal="center" vertical="top"/>
    </xf>
    <xf numFmtId="0" fontId="4" fillId="6" borderId="0" xfId="0" applyFont="1" applyFill="1" applyAlignment="1">
      <alignment horizontal="center" vertical="top"/>
    </xf>
    <xf numFmtId="0" fontId="4" fillId="7" borderId="2" xfId="0" applyFont="1" applyFill="1" applyBorder="1" applyAlignment="1">
      <alignment horizontal="center" vertical="top"/>
    </xf>
    <xf numFmtId="0" fontId="4" fillId="7" borderId="0" xfId="0" applyFont="1" applyFill="1" applyAlignment="1">
      <alignment horizontal="center" vertical="top"/>
    </xf>
    <xf numFmtId="0" fontId="0" fillId="4" borderId="0" xfId="0" applyFill="1" applyAlignment="1">
      <alignment horizontal="center" vertical="center"/>
    </xf>
    <xf numFmtId="0" fontId="4" fillId="4" borderId="2" xfId="0" applyFont="1" applyFill="1" applyBorder="1" applyAlignment="1">
      <alignment horizontal="center" vertical="top"/>
    </xf>
    <xf numFmtId="0" fontId="4" fillId="4" borderId="0" xfId="0" applyFont="1" applyFill="1" applyAlignment="1">
      <alignment horizontal="center" vertical="top"/>
    </xf>
    <xf numFmtId="0" fontId="0" fillId="6" borderId="7" xfId="0" applyFill="1" applyBorder="1" applyAlignment="1">
      <alignment horizontal="center"/>
    </xf>
    <xf numFmtId="0" fontId="3" fillId="6" borderId="0" xfId="0" applyFont="1" applyFill="1" applyAlignment="1">
      <alignment horizontal="center" vertical="center" wrapText="1"/>
    </xf>
    <xf numFmtId="0" fontId="3" fillId="6" borderId="5" xfId="0" applyFont="1" applyFill="1" applyBorder="1" applyAlignment="1">
      <alignment horizontal="center" vertical="center" wrapText="1"/>
    </xf>
    <xf numFmtId="0" fontId="0" fillId="4" borderId="7" xfId="0" applyFill="1" applyBorder="1" applyAlignment="1">
      <alignment horizontal="center"/>
    </xf>
    <xf numFmtId="0" fontId="3" fillId="4" borderId="0" xfId="0" applyFont="1" applyFill="1" applyAlignment="1">
      <alignment horizontal="center" vertical="center" wrapText="1"/>
    </xf>
    <xf numFmtId="0" fontId="3" fillId="4" borderId="5" xfId="0" applyFont="1" applyFill="1" applyBorder="1" applyAlignment="1">
      <alignment horizontal="center" vertical="center" wrapText="1"/>
    </xf>
    <xf numFmtId="0" fontId="1" fillId="4" borderId="0" xfId="0" applyFont="1" applyFill="1" applyAlignment="1">
      <alignment horizontal="center"/>
    </xf>
    <xf numFmtId="0" fontId="0" fillId="3" borderId="7" xfId="0" applyFill="1" applyBorder="1" applyAlignment="1">
      <alignment horizontal="center"/>
    </xf>
    <xf numFmtId="0" fontId="3" fillId="3" borderId="0" xfId="0" applyFont="1" applyFill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4" fillId="3" borderId="2" xfId="0" applyFont="1" applyFill="1" applyBorder="1" applyAlignment="1">
      <alignment horizontal="center" vertical="top"/>
    </xf>
    <xf numFmtId="0" fontId="4" fillId="3" borderId="0" xfId="0" applyFont="1" applyFill="1" applyAlignment="1">
      <alignment horizontal="center" vertical="top"/>
    </xf>
    <xf numFmtId="0" fontId="5" fillId="2" borderId="2" xfId="0" applyFont="1" applyFill="1" applyBorder="1" applyAlignment="1">
      <alignment horizontal="center" vertical="top"/>
    </xf>
    <xf numFmtId="0" fontId="5" fillId="2" borderId="0" xfId="0" applyFont="1" applyFill="1" applyAlignment="1">
      <alignment horizontal="center" vertical="top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6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0" fillId="5" borderId="7" xfId="0" applyFill="1" applyBorder="1" applyAlignment="1">
      <alignment horizontal="center"/>
    </xf>
    <xf numFmtId="0" fontId="4" fillId="5" borderId="2" xfId="0" applyFont="1" applyFill="1" applyBorder="1" applyAlignment="1">
      <alignment horizontal="center" vertical="top"/>
    </xf>
    <xf numFmtId="0" fontId="4" fillId="5" borderId="0" xfId="0" applyFont="1" applyFill="1" applyAlignment="1">
      <alignment horizontal="center" vertical="top"/>
    </xf>
    <xf numFmtId="0" fontId="3" fillId="5" borderId="0" xfId="0" applyFont="1" applyFill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 wrapText="1"/>
    </xf>
    <xf numFmtId="0" fontId="1" fillId="5" borderId="0" xfId="0" applyFont="1" applyFill="1" applyAlignment="1">
      <alignment horizont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9" fillId="12" borderId="0" xfId="0" applyFont="1" applyFill="1" applyAlignment="1">
      <alignment horizontal="center" vertical="center" wrapText="1"/>
    </xf>
    <xf numFmtId="0" fontId="0" fillId="13" borderId="1" xfId="0" applyFill="1" applyBorder="1"/>
    <xf numFmtId="0" fontId="0" fillId="13" borderId="2" xfId="0" applyFill="1" applyBorder="1"/>
    <xf numFmtId="0" fontId="6" fillId="13" borderId="3" xfId="0" applyFont="1" applyFill="1" applyBorder="1" applyAlignment="1">
      <alignment horizontal="center" vertical="top"/>
    </xf>
    <xf numFmtId="0" fontId="0" fillId="13" borderId="4" xfId="0" applyFill="1" applyBorder="1" applyAlignment="1">
      <alignment vertical="center"/>
    </xf>
    <xf numFmtId="0" fontId="6" fillId="13" borderId="0" xfId="0" applyFont="1" applyFill="1" applyAlignment="1">
      <alignment horizontal="center" vertical="center"/>
    </xf>
    <xf numFmtId="0" fontId="6" fillId="13" borderId="0" xfId="0" applyFont="1" applyFill="1" applyAlignment="1">
      <alignment horizontal="center" vertical="center" wrapText="1"/>
    </xf>
    <xf numFmtId="0" fontId="6" fillId="13" borderId="5" xfId="0" applyFont="1" applyFill="1" applyBorder="1" applyAlignment="1">
      <alignment horizontal="center" vertical="center"/>
    </xf>
    <xf numFmtId="0" fontId="0" fillId="13" borderId="4" xfId="0" applyFill="1" applyBorder="1"/>
    <xf numFmtId="0" fontId="0" fillId="13" borderId="0" xfId="0" applyFill="1" applyAlignment="1">
      <alignment horizontal="center" vertical="center"/>
    </xf>
    <xf numFmtId="0" fontId="6" fillId="13" borderId="5" xfId="0" applyFont="1" applyFill="1" applyBorder="1" applyAlignment="1">
      <alignment horizontal="center" vertical="top"/>
    </xf>
    <xf numFmtId="0" fontId="9" fillId="13" borderId="0" xfId="0" applyFont="1" applyFill="1" applyAlignment="1">
      <alignment horizontal="center" vertical="center" wrapText="1"/>
    </xf>
    <xf numFmtId="0" fontId="8" fillId="13" borderId="5" xfId="0" applyFont="1" applyFill="1" applyBorder="1" applyAlignment="1">
      <alignment horizontal="center" vertical="center" wrapText="1"/>
    </xf>
    <xf numFmtId="0" fontId="0" fillId="13" borderId="6" xfId="0" applyFill="1" applyBorder="1"/>
    <xf numFmtId="0" fontId="0" fillId="13" borderId="7" xfId="0" applyFill="1" applyBorder="1"/>
    <xf numFmtId="0" fontId="6" fillId="13" borderId="8" xfId="0" applyFont="1" applyFill="1" applyBorder="1" applyAlignment="1">
      <alignment horizontal="center" vertical="top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0" fontId="0" fillId="14" borderId="1" xfId="0" applyFill="1" applyBorder="1"/>
    <xf numFmtId="0" fontId="0" fillId="14" borderId="2" xfId="0" applyFill="1" applyBorder="1"/>
    <xf numFmtId="0" fontId="6" fillId="14" borderId="3" xfId="0" applyFont="1" applyFill="1" applyBorder="1" applyAlignment="1">
      <alignment horizontal="center" vertical="top"/>
    </xf>
    <xf numFmtId="0" fontId="0" fillId="14" borderId="4" xfId="0" applyFill="1" applyBorder="1" applyAlignment="1">
      <alignment vertical="center"/>
    </xf>
    <xf numFmtId="0" fontId="6" fillId="14" borderId="0" xfId="0" applyFont="1" applyFill="1" applyAlignment="1">
      <alignment horizontal="center" vertical="center"/>
    </xf>
    <xf numFmtId="0" fontId="6" fillId="14" borderId="0" xfId="0" applyFont="1" applyFill="1" applyAlignment="1">
      <alignment horizontal="center" vertical="center" wrapText="1"/>
    </xf>
    <xf numFmtId="0" fontId="6" fillId="14" borderId="5" xfId="0" applyFont="1" applyFill="1" applyBorder="1" applyAlignment="1">
      <alignment horizontal="center" vertical="center"/>
    </xf>
    <xf numFmtId="0" fontId="0" fillId="14" borderId="4" xfId="0" applyFill="1" applyBorder="1"/>
    <xf numFmtId="0" fontId="0" fillId="14" borderId="0" xfId="0" applyFill="1"/>
    <xf numFmtId="0" fontId="0" fillId="14" borderId="0" xfId="0" applyFill="1" applyAlignment="1">
      <alignment horizontal="center" vertical="center"/>
    </xf>
    <xf numFmtId="0" fontId="6" fillId="14" borderId="5" xfId="0" applyFont="1" applyFill="1" applyBorder="1" applyAlignment="1">
      <alignment horizontal="center" vertical="top"/>
    </xf>
    <xf numFmtId="0" fontId="9" fillId="14" borderId="0" xfId="0" applyFont="1" applyFill="1" applyAlignment="1">
      <alignment horizontal="center" vertical="center" wrapText="1"/>
    </xf>
    <xf numFmtId="0" fontId="8" fillId="14" borderId="5" xfId="0" applyFont="1" applyFill="1" applyBorder="1" applyAlignment="1">
      <alignment horizontal="center" vertical="center" wrapText="1"/>
    </xf>
    <xf numFmtId="0" fontId="0" fillId="14" borderId="6" xfId="0" applyFill="1" applyBorder="1"/>
    <xf numFmtId="0" fontId="0" fillId="14" borderId="7" xfId="0" applyFill="1" applyBorder="1"/>
    <xf numFmtId="0" fontId="6" fillId="14" borderId="8" xfId="0" applyFont="1" applyFill="1" applyBorder="1" applyAlignment="1">
      <alignment horizontal="center" vertical="top"/>
    </xf>
    <xf numFmtId="0" fontId="7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 wrapText="1"/>
    </xf>
    <xf numFmtId="0" fontId="0" fillId="14" borderId="0" xfId="0" applyFill="1" applyAlignment="1">
      <alignment horizontal="center" vertical="center"/>
    </xf>
    <xf numFmtId="0" fontId="7" fillId="14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BCABD"/>
      <color rgb="FFDDEBF7"/>
      <color rgb="FF37343E"/>
      <color rgb="FFFFFFCC"/>
      <color rgb="FFFF7373"/>
      <color rgb="FFFF9999"/>
      <color rgb="FFFF5050"/>
      <color rgb="FFFFCCFF"/>
      <color rgb="FFCC66FF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emf"/><Relationship Id="rId2" Type="http://schemas.openxmlformats.org/officeDocument/2006/relationships/image" Target="../media/image6.emf"/><Relationship Id="rId1" Type="http://schemas.openxmlformats.org/officeDocument/2006/relationships/image" Target="../media/image5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9.emf"/><Relationship Id="rId1" Type="http://schemas.openxmlformats.org/officeDocument/2006/relationships/image" Target="../media/image8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oneCellAnchor>
        <xdr:from>
          <xdr:col>1</xdr:col>
          <xdr:colOff>0</xdr:colOff>
          <xdr:row>1</xdr:row>
          <xdr:rowOff>0</xdr:rowOff>
        </xdr:from>
        <xdr:ext cx="3705225" cy="5000625"/>
        <xdr:pic>
          <xdr:nvPicPr>
            <xdr:cNvPr id="45" name="Picture 44">
              <a:extLst>
                <a:ext uri="{FF2B5EF4-FFF2-40B4-BE49-F238E27FC236}">
                  <a16:creationId xmlns:a16="http://schemas.microsoft.com/office/drawing/2014/main" id="{B7630490-DC59-4F23-8658-0F3076BE9981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A$2" spid="_x0000_s6427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609600" y="20002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xdr:twoCellAnchor editAs="oneCell">
    <xdr:from>
      <xdr:col>1</xdr:col>
      <xdr:colOff>0</xdr:colOff>
      <xdr:row>1</xdr:row>
      <xdr:rowOff>0</xdr:rowOff>
    </xdr:from>
    <xdr:to>
      <xdr:col>3</xdr:col>
      <xdr:colOff>47625</xdr:colOff>
      <xdr:row>2</xdr:row>
      <xdr:rowOff>876300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0184F374-B5BC-2FB0-6707-51453D214A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200025"/>
          <a:ext cx="1038225" cy="1038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oneCellAnchor>
        <xdr:from>
          <xdr:col>7</xdr:col>
          <xdr:colOff>0</xdr:colOff>
          <xdr:row>1</xdr:row>
          <xdr:rowOff>0</xdr:rowOff>
        </xdr:from>
        <xdr:ext cx="3705225" cy="5000625"/>
        <xdr:pic>
          <xdr:nvPicPr>
            <xdr:cNvPr id="17" name="Picture 16">
              <a:extLst>
                <a:ext uri="{FF2B5EF4-FFF2-40B4-BE49-F238E27FC236}">
                  <a16:creationId xmlns:a16="http://schemas.microsoft.com/office/drawing/2014/main" id="{F58A048E-48E3-4575-9502-E43C312969DC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A$2" spid="_x0000_s6428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4914900" y="20002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</xdr:col>
          <xdr:colOff>0</xdr:colOff>
          <xdr:row>1</xdr:row>
          <xdr:rowOff>0</xdr:rowOff>
        </xdr:from>
        <xdr:ext cx="3705225" cy="5000625"/>
        <xdr:pic>
          <xdr:nvPicPr>
            <xdr:cNvPr id="18" name="Picture 17">
              <a:extLst>
                <a:ext uri="{FF2B5EF4-FFF2-40B4-BE49-F238E27FC236}">
                  <a16:creationId xmlns:a16="http://schemas.microsoft.com/office/drawing/2014/main" id="{55B11F5E-763A-404B-B231-BB497A0C6281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A$2" spid="_x0000_s6429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9220200" y="20002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</xdr:col>
          <xdr:colOff>0</xdr:colOff>
          <xdr:row>1</xdr:row>
          <xdr:rowOff>0</xdr:rowOff>
        </xdr:from>
        <xdr:ext cx="3705225" cy="5000625"/>
        <xdr:pic>
          <xdr:nvPicPr>
            <xdr:cNvPr id="19" name="Picture 18">
              <a:extLst>
                <a:ext uri="{FF2B5EF4-FFF2-40B4-BE49-F238E27FC236}">
                  <a16:creationId xmlns:a16="http://schemas.microsoft.com/office/drawing/2014/main" id="{D3316334-D9FF-41B1-89B8-D994EF00B35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A$2" spid="_x0000_s6430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3525500" y="20002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</xdr:col>
          <xdr:colOff>0</xdr:colOff>
          <xdr:row>7</xdr:row>
          <xdr:rowOff>0</xdr:rowOff>
        </xdr:from>
        <xdr:ext cx="3705225" cy="5000625"/>
        <xdr:pic>
          <xdr:nvPicPr>
            <xdr:cNvPr id="20" name="Picture 19">
              <a:extLst>
                <a:ext uri="{FF2B5EF4-FFF2-40B4-BE49-F238E27FC236}">
                  <a16:creationId xmlns:a16="http://schemas.microsoft.com/office/drawing/2014/main" id="{BFE5DA9D-2717-4BAA-AACB-A77E3AF34F3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A$2" spid="_x0000_s6431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3525500" y="5562600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</xdr:col>
          <xdr:colOff>0</xdr:colOff>
          <xdr:row>7</xdr:row>
          <xdr:rowOff>0</xdr:rowOff>
        </xdr:from>
        <xdr:ext cx="3705225" cy="5000625"/>
        <xdr:pic>
          <xdr:nvPicPr>
            <xdr:cNvPr id="21" name="Picture 20">
              <a:extLst>
                <a:ext uri="{FF2B5EF4-FFF2-40B4-BE49-F238E27FC236}">
                  <a16:creationId xmlns:a16="http://schemas.microsoft.com/office/drawing/2014/main" id="{4EF40632-C9BA-40AC-93A9-93ED92891B6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A$2" spid="_x0000_s6432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9220200" y="5562600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</xdr:col>
          <xdr:colOff>0</xdr:colOff>
          <xdr:row>7</xdr:row>
          <xdr:rowOff>0</xdr:rowOff>
        </xdr:from>
        <xdr:ext cx="3705225" cy="5000625"/>
        <xdr:pic>
          <xdr:nvPicPr>
            <xdr:cNvPr id="22" name="Picture 21">
              <a:extLst>
                <a:ext uri="{FF2B5EF4-FFF2-40B4-BE49-F238E27FC236}">
                  <a16:creationId xmlns:a16="http://schemas.microsoft.com/office/drawing/2014/main" id="{35BBB72F-5133-4BDD-B5F7-4F69820251BE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A$2" spid="_x0000_s6433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4914900" y="5562600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</xdr:col>
          <xdr:colOff>0</xdr:colOff>
          <xdr:row>7</xdr:row>
          <xdr:rowOff>0</xdr:rowOff>
        </xdr:from>
        <xdr:ext cx="3705225" cy="5000625"/>
        <xdr:pic>
          <xdr:nvPicPr>
            <xdr:cNvPr id="23" name="Picture 22">
              <a:extLst>
                <a:ext uri="{FF2B5EF4-FFF2-40B4-BE49-F238E27FC236}">
                  <a16:creationId xmlns:a16="http://schemas.microsoft.com/office/drawing/2014/main" id="{76D65C39-E8FB-4AB3-815E-7F6DDA656958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A$2" spid="_x0000_s6434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609600" y="5562600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</xdr:col>
          <xdr:colOff>0</xdr:colOff>
          <xdr:row>13</xdr:row>
          <xdr:rowOff>0</xdr:rowOff>
        </xdr:from>
        <xdr:ext cx="3705225" cy="5000625"/>
        <xdr:pic>
          <xdr:nvPicPr>
            <xdr:cNvPr id="24" name="Picture 23">
              <a:extLst>
                <a:ext uri="{FF2B5EF4-FFF2-40B4-BE49-F238E27FC236}">
                  <a16:creationId xmlns:a16="http://schemas.microsoft.com/office/drawing/2014/main" id="{6FB6548D-FFE1-40A8-8546-811979858E52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A$2" spid="_x0000_s6435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609600" y="1092517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13</xdr:row>
          <xdr:rowOff>0</xdr:rowOff>
        </xdr:from>
        <xdr:to>
          <xdr:col>12</xdr:col>
          <xdr:colOff>9525</xdr:colOff>
          <xdr:row>18</xdr:row>
          <xdr:rowOff>19050</xdr:rowOff>
        </xdr:to>
        <xdr:pic>
          <xdr:nvPicPr>
            <xdr:cNvPr id="3" name="Picture 2">
              <a:extLst>
                <a:ext uri="{FF2B5EF4-FFF2-40B4-BE49-F238E27FC236}">
                  <a16:creationId xmlns:a16="http://schemas.microsoft.com/office/drawing/2014/main" id="{EBBF2DB2-FBBD-E209-1034-87EB6702CE7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C$2" spid="_x0000_s6436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4914900" y="1092517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13</xdr:row>
          <xdr:rowOff>0</xdr:rowOff>
        </xdr:from>
        <xdr:to>
          <xdr:col>18</xdr:col>
          <xdr:colOff>9525</xdr:colOff>
          <xdr:row>18</xdr:row>
          <xdr:rowOff>19050</xdr:rowOff>
        </xdr:to>
        <xdr:pic>
          <xdr:nvPicPr>
            <xdr:cNvPr id="4" name="Picture 3">
              <a:extLst>
                <a:ext uri="{FF2B5EF4-FFF2-40B4-BE49-F238E27FC236}">
                  <a16:creationId xmlns:a16="http://schemas.microsoft.com/office/drawing/2014/main" id="{F71B6122-5D31-4279-8B77-2525453DE722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C$2" spid="_x0000_s6437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9220200" y="1092517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13</xdr:row>
          <xdr:rowOff>0</xdr:rowOff>
        </xdr:from>
        <xdr:to>
          <xdr:col>24</xdr:col>
          <xdr:colOff>9525</xdr:colOff>
          <xdr:row>18</xdr:row>
          <xdr:rowOff>19050</xdr:rowOff>
        </xdr:to>
        <xdr:pic>
          <xdr:nvPicPr>
            <xdr:cNvPr id="5" name="Picture 4">
              <a:extLst>
                <a:ext uri="{FF2B5EF4-FFF2-40B4-BE49-F238E27FC236}">
                  <a16:creationId xmlns:a16="http://schemas.microsoft.com/office/drawing/2014/main" id="{4F4A0A05-EAEB-43E7-926C-D1ED54F0F978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C$2" spid="_x0000_s6438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13525500" y="1092517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19</xdr:row>
          <xdr:rowOff>0</xdr:rowOff>
        </xdr:from>
        <xdr:to>
          <xdr:col>6</xdr:col>
          <xdr:colOff>9525</xdr:colOff>
          <xdr:row>24</xdr:row>
          <xdr:rowOff>19050</xdr:rowOff>
        </xdr:to>
        <xdr:pic>
          <xdr:nvPicPr>
            <xdr:cNvPr id="6" name="Picture 5">
              <a:extLst>
                <a:ext uri="{FF2B5EF4-FFF2-40B4-BE49-F238E27FC236}">
                  <a16:creationId xmlns:a16="http://schemas.microsoft.com/office/drawing/2014/main" id="{48E4F5A0-DF6D-48FD-BB66-DAC83E81E07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C$2" spid="_x0000_s6439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609600" y="16287750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19</xdr:row>
          <xdr:rowOff>0</xdr:rowOff>
        </xdr:from>
        <xdr:to>
          <xdr:col>12</xdr:col>
          <xdr:colOff>9525</xdr:colOff>
          <xdr:row>24</xdr:row>
          <xdr:rowOff>19050</xdr:rowOff>
        </xdr:to>
        <xdr:pic>
          <xdr:nvPicPr>
            <xdr:cNvPr id="7" name="Picture 6">
              <a:extLst>
                <a:ext uri="{FF2B5EF4-FFF2-40B4-BE49-F238E27FC236}">
                  <a16:creationId xmlns:a16="http://schemas.microsoft.com/office/drawing/2014/main" id="{26158A2E-0158-4E51-8F64-6A048A099696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C$2" spid="_x0000_s6440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4914900" y="16287750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19</xdr:row>
          <xdr:rowOff>0</xdr:rowOff>
        </xdr:from>
        <xdr:to>
          <xdr:col>18</xdr:col>
          <xdr:colOff>9525</xdr:colOff>
          <xdr:row>24</xdr:row>
          <xdr:rowOff>19050</xdr:rowOff>
        </xdr:to>
        <xdr:pic>
          <xdr:nvPicPr>
            <xdr:cNvPr id="8" name="Picture 7">
              <a:extLst>
                <a:ext uri="{FF2B5EF4-FFF2-40B4-BE49-F238E27FC236}">
                  <a16:creationId xmlns:a16="http://schemas.microsoft.com/office/drawing/2014/main" id="{06B5C7DE-6CFA-4958-94FC-DC4C415E193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C$2" spid="_x0000_s6441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9220200" y="16287750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19</xdr:row>
          <xdr:rowOff>0</xdr:rowOff>
        </xdr:from>
        <xdr:to>
          <xdr:col>24</xdr:col>
          <xdr:colOff>9525</xdr:colOff>
          <xdr:row>24</xdr:row>
          <xdr:rowOff>19050</xdr:rowOff>
        </xdr:to>
        <xdr:pic>
          <xdr:nvPicPr>
            <xdr:cNvPr id="9" name="Picture 8">
              <a:extLst>
                <a:ext uri="{FF2B5EF4-FFF2-40B4-BE49-F238E27FC236}">
                  <a16:creationId xmlns:a16="http://schemas.microsoft.com/office/drawing/2014/main" id="{79D01B02-5DCA-4108-8783-A59C268AEE8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C$2" spid="_x0000_s6442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13525500" y="16287750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292100</xdr:colOff>
      <xdr:row>4</xdr:row>
      <xdr:rowOff>279400</xdr:rowOff>
    </xdr:from>
    <xdr:to>
      <xdr:col>15</xdr:col>
      <xdr:colOff>0</xdr:colOff>
      <xdr:row>7</xdr:row>
      <xdr:rowOff>557900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3D7DEC13-14B2-4A7B-B118-9B5CA26A2984}"/>
            </a:ext>
          </a:extLst>
        </xdr:cNvPr>
        <xdr:cNvSpPr/>
      </xdr:nvSpPr>
      <xdr:spPr>
        <a:xfrm rot="5400000">
          <a:off x="10526210" y="4660450"/>
          <a:ext cx="6725020" cy="9652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  <a:scene3d>
          <a:camera prst="orthographicFront"/>
          <a:lightRig rig="threePt" dir="t"/>
        </a:scene3d>
        <a:sp3d>
          <a:bevelT prst="angle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4</xdr:row>
      <xdr:rowOff>241300</xdr:rowOff>
    </xdr:from>
    <xdr:to>
      <xdr:col>10</xdr:col>
      <xdr:colOff>95250</xdr:colOff>
      <xdr:row>7</xdr:row>
      <xdr:rowOff>519800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CF2FC26B-7636-4651-9A40-5D6524EA2B87}"/>
            </a:ext>
          </a:extLst>
        </xdr:cNvPr>
        <xdr:cNvSpPr/>
      </xdr:nvSpPr>
      <xdr:spPr>
        <a:xfrm rot="16200000" flipH="1">
          <a:off x="4838515" y="4622985"/>
          <a:ext cx="6725020" cy="9525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  <a:scene3d>
          <a:camera prst="orthographicFront"/>
          <a:lightRig rig="threePt" dir="t"/>
        </a:scene3d>
        <a:sp3d>
          <a:bevelT prst="angle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11</xdr:col>
      <xdr:colOff>0</xdr:colOff>
      <xdr:row>2</xdr:row>
      <xdr:rowOff>0</xdr:rowOff>
    </xdr:from>
    <xdr:to>
      <xdr:col>14</xdr:col>
      <xdr:colOff>38100</xdr:colOff>
      <xdr:row>2</xdr:row>
      <xdr:rowOff>101600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5675AAFE-C1A0-4CF1-8620-4A96D4173947}"/>
            </a:ext>
          </a:extLst>
        </xdr:cNvPr>
        <xdr:cNvSpPr/>
      </xdr:nvSpPr>
      <xdr:spPr>
        <a:xfrm>
          <a:off x="8542020" y="243840"/>
          <a:ext cx="5044440" cy="10160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  <a:scene3d>
          <a:camera prst="orthographicFront"/>
          <a:lightRig rig="threePt" dir="t"/>
        </a:scene3d>
        <a:sp3d>
          <a:bevelT prst="angle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20089</xdr:colOff>
      <xdr:row>1</xdr:row>
      <xdr:rowOff>119208</xdr:rowOff>
    </xdr:from>
    <xdr:to>
      <xdr:col>14</xdr:col>
      <xdr:colOff>378406</xdr:colOff>
      <xdr:row>4</xdr:row>
      <xdr:rowOff>542058</xdr:rowOff>
    </xdr:to>
    <xdr:sp macro="" textlink="">
      <xdr:nvSpPr>
        <xdr:cNvPr id="6" name="Right Triangle 5">
          <a:extLst>
            <a:ext uri="{FF2B5EF4-FFF2-40B4-BE49-F238E27FC236}">
              <a16:creationId xmlns:a16="http://schemas.microsoft.com/office/drawing/2014/main" id="{CFC55691-77FC-4DA3-9A5A-8B01C903F378}"/>
            </a:ext>
          </a:extLst>
        </xdr:cNvPr>
        <xdr:cNvSpPr/>
      </xdr:nvSpPr>
      <xdr:spPr>
        <a:xfrm rot="16200000" flipH="1">
          <a:off x="12629403" y="311494"/>
          <a:ext cx="1367730" cy="1226997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  <a:scene3d>
          <a:camera prst="orthographicFront"/>
          <a:lightRig rig="threePt" dir="t"/>
        </a:scene3d>
        <a:sp3d>
          <a:bevelT w="152400" h="50800" prst="softRound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2</xdr:row>
      <xdr:rowOff>0</xdr:rowOff>
    </xdr:from>
    <xdr:to>
      <xdr:col>11</xdr:col>
      <xdr:colOff>838897</xdr:colOff>
      <xdr:row>4</xdr:row>
      <xdr:rowOff>480000</xdr:rowOff>
    </xdr:to>
    <xdr:sp macro="" textlink="">
      <xdr:nvSpPr>
        <xdr:cNvPr id="7" name="Right Triangle 6">
          <a:extLst>
            <a:ext uri="{FF2B5EF4-FFF2-40B4-BE49-F238E27FC236}">
              <a16:creationId xmlns:a16="http://schemas.microsoft.com/office/drawing/2014/main" id="{379EDEAD-A652-4D2F-9B53-FE139644FAE6}"/>
            </a:ext>
          </a:extLst>
        </xdr:cNvPr>
        <xdr:cNvSpPr/>
      </xdr:nvSpPr>
      <xdr:spPr>
        <a:xfrm rot="5400000">
          <a:off x="8115679" y="281561"/>
          <a:ext cx="1302960" cy="1227517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  <a:scene3d>
          <a:camera prst="orthographicFront"/>
          <a:lightRig rig="threePt" dir="t"/>
        </a:scene3d>
        <a:sp3d>
          <a:bevelT w="152400" h="50800" prst="softRound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6</xdr:row>
      <xdr:rowOff>2152649</xdr:rowOff>
    </xdr:from>
    <xdr:to>
      <xdr:col>15</xdr:col>
      <xdr:colOff>0</xdr:colOff>
      <xdr:row>7</xdr:row>
      <xdr:rowOff>558082</xdr:rowOff>
    </xdr:to>
    <xdr:sp macro="" textlink="">
      <xdr:nvSpPr>
        <xdr:cNvPr id="8" name="Right Brace 13">
          <a:extLst>
            <a:ext uri="{FF2B5EF4-FFF2-40B4-BE49-F238E27FC236}">
              <a16:creationId xmlns:a16="http://schemas.microsoft.com/office/drawing/2014/main" id="{846E0229-A375-4063-BC38-365C628BB5C1}"/>
            </a:ext>
          </a:extLst>
        </xdr:cNvPr>
        <xdr:cNvSpPr/>
      </xdr:nvSpPr>
      <xdr:spPr>
        <a:xfrm rot="5400000" flipH="1" flipV="1">
          <a:off x="10764243" y="4898666"/>
          <a:ext cx="561893" cy="5783580"/>
        </a:xfrm>
        <a:custGeom>
          <a:avLst/>
          <a:gdLst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323850 w 590550"/>
            <a:gd name="csY1" fmla="*/ 5950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590550" h="3162301" stroke="0" extrusionOk="0">
              <a:moveTo>
                <a:pt x="0" y="0"/>
              </a:moveTo>
              <a:cubicBezTo>
                <a:pt x="163076" y="0"/>
                <a:pt x="238125" y="395221"/>
                <a:pt x="514350" y="537906"/>
              </a:cubicBezTo>
              <a:cubicBezTo>
                <a:pt x="53975" y="814150"/>
                <a:pt x="365125" y="91894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81000" y="2296724"/>
                <a:pt x="400050" y="2522472"/>
                <a:pt x="552450" y="2691070"/>
              </a:cubicBezTo>
              <a:cubicBezTo>
                <a:pt x="76200" y="2890905"/>
                <a:pt x="163076" y="3162301"/>
                <a:pt x="0" y="3162301"/>
              </a:cubicBezTo>
              <a:lnTo>
                <a:pt x="0" y="0"/>
              </a:lnTo>
              <a:close/>
            </a:path>
            <a:path w="590550" h="3162301" fill="none">
              <a:moveTo>
                <a:pt x="0" y="0"/>
              </a:moveTo>
              <a:cubicBezTo>
                <a:pt x="163076" y="0"/>
                <a:pt x="247650" y="404746"/>
                <a:pt x="514350" y="537906"/>
              </a:cubicBezTo>
              <a:cubicBezTo>
                <a:pt x="142875" y="795100"/>
                <a:pt x="295275" y="89989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90525" y="2280849"/>
                <a:pt x="390525" y="2566922"/>
                <a:pt x="542925" y="2681545"/>
              </a:cubicBezTo>
              <a:cubicBezTo>
                <a:pt x="123825" y="2843280"/>
                <a:pt x="163076" y="3162301"/>
                <a:pt x="0" y="3162301"/>
              </a:cubicBezTo>
            </a:path>
          </a:pathLst>
        </a:custGeom>
        <a:solidFill>
          <a:schemeClr val="accent4"/>
        </a:solidFill>
        <a:ln>
          <a:solidFill>
            <a:schemeClr val="tx1"/>
          </a:solidFill>
        </a:ln>
        <a:effectLst/>
        <a:scene3d>
          <a:camera prst="orthographicFront"/>
          <a:lightRig rig="threePt" dir="t"/>
        </a:scene3d>
        <a:sp3d>
          <a:bevelT w="165100" prst="coolSlant"/>
        </a:sp3d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310787</xdr:colOff>
      <xdr:row>4</xdr:row>
      <xdr:rowOff>562520</xdr:rowOff>
    </xdr:from>
    <xdr:to>
      <xdr:col>14</xdr:col>
      <xdr:colOff>97427</xdr:colOff>
      <xdr:row>6</xdr:row>
      <xdr:rowOff>124939</xdr:rowOff>
    </xdr:to>
    <xdr:sp macro="" textlink="">
      <xdr:nvSpPr>
        <xdr:cNvPr id="9" name="Frame 8">
          <a:extLst>
            <a:ext uri="{FF2B5EF4-FFF2-40B4-BE49-F238E27FC236}">
              <a16:creationId xmlns:a16="http://schemas.microsoft.com/office/drawing/2014/main" id="{5B39A840-F7CC-494F-8ED6-0BEF40235E42}"/>
            </a:ext>
          </a:extLst>
        </xdr:cNvPr>
        <xdr:cNvSpPr/>
      </xdr:nvSpPr>
      <xdr:spPr>
        <a:xfrm>
          <a:off x="8311787" y="1688202"/>
          <a:ext cx="5051367" cy="3840010"/>
        </a:xfrm>
        <a:prstGeom prst="frame">
          <a:avLst>
            <a:gd name="adj1" fmla="val 2500"/>
          </a:avLst>
        </a:prstGeom>
        <a:solidFill>
          <a:schemeClr val="accent4"/>
        </a:solidFill>
        <a:ln>
          <a:solidFill>
            <a:schemeClr val="tx1"/>
          </a:solidFill>
        </a:ln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292100</xdr:colOff>
      <xdr:row>13</xdr:row>
      <xdr:rowOff>279400</xdr:rowOff>
    </xdr:from>
    <xdr:to>
      <xdr:col>15</xdr:col>
      <xdr:colOff>0</xdr:colOff>
      <xdr:row>16</xdr:row>
      <xdr:rowOff>557900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BF4B08B6-FBBE-49D0-B12D-10531F372B90}"/>
            </a:ext>
          </a:extLst>
        </xdr:cNvPr>
        <xdr:cNvSpPr/>
      </xdr:nvSpPr>
      <xdr:spPr>
        <a:xfrm rot="5400000">
          <a:off x="10522400" y="4734918"/>
          <a:ext cx="6734718" cy="95828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13</xdr:row>
      <xdr:rowOff>241300</xdr:rowOff>
    </xdr:from>
    <xdr:to>
      <xdr:col>10</xdr:col>
      <xdr:colOff>95250</xdr:colOff>
      <xdr:row>16</xdr:row>
      <xdr:rowOff>519800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5812FD77-59C8-41AA-A13E-8537A8426BD8}"/>
            </a:ext>
          </a:extLst>
        </xdr:cNvPr>
        <xdr:cNvSpPr/>
      </xdr:nvSpPr>
      <xdr:spPr>
        <a:xfrm rot="16200000" flipH="1">
          <a:off x="4826739" y="4697107"/>
          <a:ext cx="6734718" cy="9525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11</xdr:col>
      <xdr:colOff>0</xdr:colOff>
      <xdr:row>11</xdr:row>
      <xdr:rowOff>0</xdr:rowOff>
    </xdr:from>
    <xdr:to>
      <xdr:col>14</xdr:col>
      <xdr:colOff>38100</xdr:colOff>
      <xdr:row>11</xdr:row>
      <xdr:rowOff>101600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F7137FEA-2416-4DDE-9FA6-570336E083DE}"/>
            </a:ext>
          </a:extLst>
        </xdr:cNvPr>
        <xdr:cNvSpPr/>
      </xdr:nvSpPr>
      <xdr:spPr>
        <a:xfrm>
          <a:off x="8534400" y="304800"/>
          <a:ext cx="5053445" cy="10160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20089</xdr:colOff>
      <xdr:row>10</xdr:row>
      <xdr:rowOff>119208</xdr:rowOff>
    </xdr:from>
    <xdr:to>
      <xdr:col>14</xdr:col>
      <xdr:colOff>378406</xdr:colOff>
      <xdr:row>13</xdr:row>
      <xdr:rowOff>542058</xdr:rowOff>
    </xdr:to>
    <xdr:sp macro="" textlink="">
      <xdr:nvSpPr>
        <xdr:cNvPr id="17" name="Right Triangle 16">
          <a:extLst>
            <a:ext uri="{FF2B5EF4-FFF2-40B4-BE49-F238E27FC236}">
              <a16:creationId xmlns:a16="http://schemas.microsoft.com/office/drawing/2014/main" id="{9E3FDED3-057A-40D7-8883-BFB395FF2CE6}"/>
            </a:ext>
          </a:extLst>
        </xdr:cNvPr>
        <xdr:cNvSpPr/>
      </xdr:nvSpPr>
      <xdr:spPr>
        <a:xfrm rot="16200000" flipH="1">
          <a:off x="12470768" y="8505765"/>
          <a:ext cx="1683614" cy="1231153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11</xdr:row>
      <xdr:rowOff>0</xdr:rowOff>
    </xdr:from>
    <xdr:to>
      <xdr:col>11</xdr:col>
      <xdr:colOff>838897</xdr:colOff>
      <xdr:row>13</xdr:row>
      <xdr:rowOff>480000</xdr:rowOff>
    </xdr:to>
    <xdr:sp macro="" textlink="">
      <xdr:nvSpPr>
        <xdr:cNvPr id="18" name="Right Triangle 17">
          <a:extLst>
            <a:ext uri="{FF2B5EF4-FFF2-40B4-BE49-F238E27FC236}">
              <a16:creationId xmlns:a16="http://schemas.microsoft.com/office/drawing/2014/main" id="{84FAFFA0-1F30-40AE-A4B9-27D5D1A13035}"/>
            </a:ext>
          </a:extLst>
        </xdr:cNvPr>
        <xdr:cNvSpPr/>
      </xdr:nvSpPr>
      <xdr:spPr>
        <a:xfrm rot="5400000">
          <a:off x="8104248" y="347025"/>
          <a:ext cx="1311273" cy="1226824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15</xdr:row>
      <xdr:rowOff>2152649</xdr:rowOff>
    </xdr:from>
    <xdr:to>
      <xdr:col>15</xdr:col>
      <xdr:colOff>0</xdr:colOff>
      <xdr:row>16</xdr:row>
      <xdr:rowOff>558082</xdr:rowOff>
    </xdr:to>
    <xdr:sp macro="" textlink="">
      <xdr:nvSpPr>
        <xdr:cNvPr id="19" name="Right Brace 13">
          <a:extLst>
            <a:ext uri="{FF2B5EF4-FFF2-40B4-BE49-F238E27FC236}">
              <a16:creationId xmlns:a16="http://schemas.microsoft.com/office/drawing/2014/main" id="{F3B0C149-A0BF-4254-A8E5-17948281E36A}"/>
            </a:ext>
          </a:extLst>
        </xdr:cNvPr>
        <xdr:cNvSpPr/>
      </xdr:nvSpPr>
      <xdr:spPr>
        <a:xfrm rot="5400000" flipH="1" flipV="1">
          <a:off x="10758702" y="4971402"/>
          <a:ext cx="566742" cy="5791200"/>
        </a:xfrm>
        <a:custGeom>
          <a:avLst/>
          <a:gdLst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323850 w 590550"/>
            <a:gd name="csY1" fmla="*/ 5950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590550" h="3162301" stroke="0" extrusionOk="0">
              <a:moveTo>
                <a:pt x="0" y="0"/>
              </a:moveTo>
              <a:cubicBezTo>
                <a:pt x="163076" y="0"/>
                <a:pt x="238125" y="395221"/>
                <a:pt x="514350" y="537906"/>
              </a:cubicBezTo>
              <a:cubicBezTo>
                <a:pt x="53975" y="814150"/>
                <a:pt x="365125" y="91894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81000" y="2296724"/>
                <a:pt x="400050" y="2522472"/>
                <a:pt x="552450" y="2691070"/>
              </a:cubicBezTo>
              <a:cubicBezTo>
                <a:pt x="76200" y="2890905"/>
                <a:pt x="163076" y="3162301"/>
                <a:pt x="0" y="3162301"/>
              </a:cubicBezTo>
              <a:lnTo>
                <a:pt x="0" y="0"/>
              </a:lnTo>
              <a:close/>
            </a:path>
            <a:path w="590550" h="3162301" fill="none">
              <a:moveTo>
                <a:pt x="0" y="0"/>
              </a:moveTo>
              <a:cubicBezTo>
                <a:pt x="163076" y="0"/>
                <a:pt x="247650" y="404746"/>
                <a:pt x="514350" y="537906"/>
              </a:cubicBezTo>
              <a:cubicBezTo>
                <a:pt x="142875" y="795100"/>
                <a:pt x="295275" y="89989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90525" y="2280849"/>
                <a:pt x="390525" y="2566922"/>
                <a:pt x="542925" y="2681545"/>
              </a:cubicBezTo>
              <a:cubicBezTo>
                <a:pt x="123825" y="2843280"/>
                <a:pt x="163076" y="3162301"/>
                <a:pt x="0" y="3162301"/>
              </a:cubicBezTo>
            </a:path>
          </a:pathLst>
        </a:custGeom>
        <a:solidFill>
          <a:schemeClr val="accent4"/>
        </a:solidFill>
        <a:ln>
          <a:solidFill>
            <a:schemeClr val="tx1"/>
          </a:solidFill>
        </a:ln>
        <a:effectLst/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297180</xdr:colOff>
      <xdr:row>13</xdr:row>
      <xdr:rowOff>535305</xdr:rowOff>
    </xdr:from>
    <xdr:to>
      <xdr:col>14</xdr:col>
      <xdr:colOff>83820</xdr:colOff>
      <xdr:row>15</xdr:row>
      <xdr:rowOff>95250</xdr:rowOff>
    </xdr:to>
    <xdr:sp macro="" textlink="">
      <xdr:nvSpPr>
        <xdr:cNvPr id="20" name="Frame 19">
          <a:extLst>
            <a:ext uri="{FF2B5EF4-FFF2-40B4-BE49-F238E27FC236}">
              <a16:creationId xmlns:a16="http://schemas.microsoft.com/office/drawing/2014/main" id="{5D0B0337-62CB-4C59-9F4C-F2C8973BCA29}"/>
            </a:ext>
          </a:extLst>
        </xdr:cNvPr>
        <xdr:cNvSpPr/>
      </xdr:nvSpPr>
      <xdr:spPr>
        <a:xfrm>
          <a:off x="8443653" y="1671378"/>
          <a:ext cx="5189912" cy="3854854"/>
        </a:xfrm>
        <a:prstGeom prst="frame">
          <a:avLst>
            <a:gd name="adj1" fmla="val 2500"/>
          </a:avLst>
        </a:prstGeom>
        <a:solidFill>
          <a:schemeClr val="accent4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292100</xdr:colOff>
      <xdr:row>22</xdr:row>
      <xdr:rowOff>279400</xdr:rowOff>
    </xdr:from>
    <xdr:to>
      <xdr:col>15</xdr:col>
      <xdr:colOff>0</xdr:colOff>
      <xdr:row>25</xdr:row>
      <xdr:rowOff>557900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8E9D1B5E-89EF-4525-8B4A-6B82E6E60791}"/>
            </a:ext>
          </a:extLst>
        </xdr:cNvPr>
        <xdr:cNvSpPr/>
      </xdr:nvSpPr>
      <xdr:spPr>
        <a:xfrm rot="5400000">
          <a:off x="10522400" y="12715136"/>
          <a:ext cx="6734718" cy="95828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22</xdr:row>
      <xdr:rowOff>241300</xdr:rowOff>
    </xdr:from>
    <xdr:to>
      <xdr:col>10</xdr:col>
      <xdr:colOff>95250</xdr:colOff>
      <xdr:row>25</xdr:row>
      <xdr:rowOff>519800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0BD9BC9E-58AA-4172-A824-E38E37EA6A77}"/>
            </a:ext>
          </a:extLst>
        </xdr:cNvPr>
        <xdr:cNvSpPr/>
      </xdr:nvSpPr>
      <xdr:spPr>
        <a:xfrm rot="16200000" flipH="1">
          <a:off x="4826739" y="12677325"/>
          <a:ext cx="6734718" cy="9525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11</xdr:col>
      <xdr:colOff>0</xdr:colOff>
      <xdr:row>20</xdr:row>
      <xdr:rowOff>0</xdr:rowOff>
    </xdr:from>
    <xdr:to>
      <xdr:col>14</xdr:col>
      <xdr:colOff>38100</xdr:colOff>
      <xdr:row>20</xdr:row>
      <xdr:rowOff>101600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DB23B41D-0821-4AF8-A8B0-CF4E1535473F}"/>
            </a:ext>
          </a:extLst>
        </xdr:cNvPr>
        <xdr:cNvSpPr/>
      </xdr:nvSpPr>
      <xdr:spPr>
        <a:xfrm>
          <a:off x="8534400" y="8285018"/>
          <a:ext cx="5053445" cy="10160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20089</xdr:colOff>
      <xdr:row>19</xdr:row>
      <xdr:rowOff>119208</xdr:rowOff>
    </xdr:from>
    <xdr:to>
      <xdr:col>14</xdr:col>
      <xdr:colOff>378406</xdr:colOff>
      <xdr:row>22</xdr:row>
      <xdr:rowOff>542058</xdr:rowOff>
    </xdr:to>
    <xdr:sp macro="" textlink="">
      <xdr:nvSpPr>
        <xdr:cNvPr id="34" name="Right Triangle 33">
          <a:extLst>
            <a:ext uri="{FF2B5EF4-FFF2-40B4-BE49-F238E27FC236}">
              <a16:creationId xmlns:a16="http://schemas.microsoft.com/office/drawing/2014/main" id="{54959F97-59B5-4027-BED3-F15F2D420F27}"/>
            </a:ext>
          </a:extLst>
        </xdr:cNvPr>
        <xdr:cNvSpPr/>
      </xdr:nvSpPr>
      <xdr:spPr>
        <a:xfrm rot="16200000" flipH="1">
          <a:off x="12623168" y="8353365"/>
          <a:ext cx="1378814" cy="1231153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20</xdr:row>
      <xdr:rowOff>0</xdr:rowOff>
    </xdr:from>
    <xdr:to>
      <xdr:col>11</xdr:col>
      <xdr:colOff>838897</xdr:colOff>
      <xdr:row>22</xdr:row>
      <xdr:rowOff>480000</xdr:rowOff>
    </xdr:to>
    <xdr:sp macro="" textlink="">
      <xdr:nvSpPr>
        <xdr:cNvPr id="35" name="Right Triangle 34">
          <a:extLst>
            <a:ext uri="{FF2B5EF4-FFF2-40B4-BE49-F238E27FC236}">
              <a16:creationId xmlns:a16="http://schemas.microsoft.com/office/drawing/2014/main" id="{B9F5D2C4-6EAD-43FB-801A-5C09E6814747}"/>
            </a:ext>
          </a:extLst>
        </xdr:cNvPr>
        <xdr:cNvSpPr/>
      </xdr:nvSpPr>
      <xdr:spPr>
        <a:xfrm rot="5400000">
          <a:off x="8104248" y="8327243"/>
          <a:ext cx="1311273" cy="1226824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24</xdr:row>
      <xdr:rowOff>2152649</xdr:rowOff>
    </xdr:from>
    <xdr:to>
      <xdr:col>15</xdr:col>
      <xdr:colOff>0</xdr:colOff>
      <xdr:row>25</xdr:row>
      <xdr:rowOff>558082</xdr:rowOff>
    </xdr:to>
    <xdr:sp macro="" textlink="">
      <xdr:nvSpPr>
        <xdr:cNvPr id="36" name="Right Brace 13">
          <a:extLst>
            <a:ext uri="{FF2B5EF4-FFF2-40B4-BE49-F238E27FC236}">
              <a16:creationId xmlns:a16="http://schemas.microsoft.com/office/drawing/2014/main" id="{D53666F2-6A08-4293-936E-3539373F2FD9}"/>
            </a:ext>
          </a:extLst>
        </xdr:cNvPr>
        <xdr:cNvSpPr/>
      </xdr:nvSpPr>
      <xdr:spPr>
        <a:xfrm rot="5400000" flipH="1" flipV="1">
          <a:off x="10758702" y="12951620"/>
          <a:ext cx="566742" cy="5791200"/>
        </a:xfrm>
        <a:custGeom>
          <a:avLst/>
          <a:gdLst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323850 w 590550"/>
            <a:gd name="csY1" fmla="*/ 5950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590550" h="3162301" stroke="0" extrusionOk="0">
              <a:moveTo>
                <a:pt x="0" y="0"/>
              </a:moveTo>
              <a:cubicBezTo>
                <a:pt x="163076" y="0"/>
                <a:pt x="238125" y="395221"/>
                <a:pt x="514350" y="537906"/>
              </a:cubicBezTo>
              <a:cubicBezTo>
                <a:pt x="53975" y="814150"/>
                <a:pt x="365125" y="91894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81000" y="2296724"/>
                <a:pt x="400050" y="2522472"/>
                <a:pt x="552450" y="2691070"/>
              </a:cubicBezTo>
              <a:cubicBezTo>
                <a:pt x="76200" y="2890905"/>
                <a:pt x="163076" y="3162301"/>
                <a:pt x="0" y="3162301"/>
              </a:cubicBezTo>
              <a:lnTo>
                <a:pt x="0" y="0"/>
              </a:lnTo>
              <a:close/>
            </a:path>
            <a:path w="590550" h="3162301" fill="none">
              <a:moveTo>
                <a:pt x="0" y="0"/>
              </a:moveTo>
              <a:cubicBezTo>
                <a:pt x="163076" y="0"/>
                <a:pt x="247650" y="404746"/>
                <a:pt x="514350" y="537906"/>
              </a:cubicBezTo>
              <a:cubicBezTo>
                <a:pt x="142875" y="795100"/>
                <a:pt x="295275" y="89989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90525" y="2280849"/>
                <a:pt x="390525" y="2566922"/>
                <a:pt x="542925" y="2681545"/>
              </a:cubicBezTo>
              <a:cubicBezTo>
                <a:pt x="123825" y="2843280"/>
                <a:pt x="163076" y="3162301"/>
                <a:pt x="0" y="3162301"/>
              </a:cubicBezTo>
            </a:path>
          </a:pathLst>
        </a:custGeom>
        <a:solidFill>
          <a:schemeClr val="accent4"/>
        </a:solidFill>
        <a:ln>
          <a:solidFill>
            <a:schemeClr val="tx1"/>
          </a:solidFill>
        </a:ln>
        <a:effectLst/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297180</xdr:colOff>
      <xdr:row>22</xdr:row>
      <xdr:rowOff>535305</xdr:rowOff>
    </xdr:from>
    <xdr:to>
      <xdr:col>14</xdr:col>
      <xdr:colOff>83820</xdr:colOff>
      <xdr:row>24</xdr:row>
      <xdr:rowOff>95250</xdr:rowOff>
    </xdr:to>
    <xdr:sp macro="" textlink="">
      <xdr:nvSpPr>
        <xdr:cNvPr id="37" name="Frame 36">
          <a:extLst>
            <a:ext uri="{FF2B5EF4-FFF2-40B4-BE49-F238E27FC236}">
              <a16:creationId xmlns:a16="http://schemas.microsoft.com/office/drawing/2014/main" id="{143B07F4-DD23-49F1-9187-81F4EE13519B}"/>
            </a:ext>
          </a:extLst>
        </xdr:cNvPr>
        <xdr:cNvSpPr/>
      </xdr:nvSpPr>
      <xdr:spPr>
        <a:xfrm>
          <a:off x="8443653" y="9651596"/>
          <a:ext cx="5189912" cy="3854854"/>
        </a:xfrm>
        <a:prstGeom prst="frame">
          <a:avLst>
            <a:gd name="adj1" fmla="val 2500"/>
          </a:avLst>
        </a:prstGeom>
        <a:solidFill>
          <a:schemeClr val="accent4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292100</xdr:colOff>
      <xdr:row>31</xdr:row>
      <xdr:rowOff>279400</xdr:rowOff>
    </xdr:from>
    <xdr:to>
      <xdr:col>15</xdr:col>
      <xdr:colOff>0</xdr:colOff>
      <xdr:row>34</xdr:row>
      <xdr:rowOff>557900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D7626453-7CDE-4AE2-9E0F-E0F2FBBE8B57}"/>
            </a:ext>
          </a:extLst>
        </xdr:cNvPr>
        <xdr:cNvSpPr/>
      </xdr:nvSpPr>
      <xdr:spPr>
        <a:xfrm rot="5400000">
          <a:off x="10522400" y="20695354"/>
          <a:ext cx="6734718" cy="95828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31</xdr:row>
      <xdr:rowOff>241300</xdr:rowOff>
    </xdr:from>
    <xdr:to>
      <xdr:col>10</xdr:col>
      <xdr:colOff>95250</xdr:colOff>
      <xdr:row>34</xdr:row>
      <xdr:rowOff>519800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76F8DE4B-C43E-4BE8-B37E-D9DCC0769E40}"/>
            </a:ext>
          </a:extLst>
        </xdr:cNvPr>
        <xdr:cNvSpPr/>
      </xdr:nvSpPr>
      <xdr:spPr>
        <a:xfrm rot="16200000" flipH="1">
          <a:off x="4826739" y="20657543"/>
          <a:ext cx="6734718" cy="9525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11</xdr:col>
      <xdr:colOff>0</xdr:colOff>
      <xdr:row>29</xdr:row>
      <xdr:rowOff>0</xdr:rowOff>
    </xdr:from>
    <xdr:to>
      <xdr:col>14</xdr:col>
      <xdr:colOff>38100</xdr:colOff>
      <xdr:row>29</xdr:row>
      <xdr:rowOff>101600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23978568-A5BA-45EE-AB1C-F279B692CBC6}"/>
            </a:ext>
          </a:extLst>
        </xdr:cNvPr>
        <xdr:cNvSpPr/>
      </xdr:nvSpPr>
      <xdr:spPr>
        <a:xfrm>
          <a:off x="8534400" y="16265236"/>
          <a:ext cx="5053445" cy="10160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20089</xdr:colOff>
      <xdr:row>28</xdr:row>
      <xdr:rowOff>119208</xdr:rowOff>
    </xdr:from>
    <xdr:to>
      <xdr:col>14</xdr:col>
      <xdr:colOff>378406</xdr:colOff>
      <xdr:row>31</xdr:row>
      <xdr:rowOff>542058</xdr:rowOff>
    </xdr:to>
    <xdr:sp macro="" textlink="">
      <xdr:nvSpPr>
        <xdr:cNvPr id="48" name="Right Triangle 47">
          <a:extLst>
            <a:ext uri="{FF2B5EF4-FFF2-40B4-BE49-F238E27FC236}">
              <a16:creationId xmlns:a16="http://schemas.microsoft.com/office/drawing/2014/main" id="{C8FA9158-F4BA-45A7-A058-6773D6CE9DF6}"/>
            </a:ext>
          </a:extLst>
        </xdr:cNvPr>
        <xdr:cNvSpPr/>
      </xdr:nvSpPr>
      <xdr:spPr>
        <a:xfrm rot="16200000" flipH="1">
          <a:off x="12623168" y="16333583"/>
          <a:ext cx="1378814" cy="1231153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29</xdr:row>
      <xdr:rowOff>0</xdr:rowOff>
    </xdr:from>
    <xdr:to>
      <xdr:col>11</xdr:col>
      <xdr:colOff>838897</xdr:colOff>
      <xdr:row>31</xdr:row>
      <xdr:rowOff>480000</xdr:rowOff>
    </xdr:to>
    <xdr:sp macro="" textlink="">
      <xdr:nvSpPr>
        <xdr:cNvPr id="49" name="Right Triangle 48">
          <a:extLst>
            <a:ext uri="{FF2B5EF4-FFF2-40B4-BE49-F238E27FC236}">
              <a16:creationId xmlns:a16="http://schemas.microsoft.com/office/drawing/2014/main" id="{2BF2FED9-61E2-4F49-A26E-A0B423625E16}"/>
            </a:ext>
          </a:extLst>
        </xdr:cNvPr>
        <xdr:cNvSpPr/>
      </xdr:nvSpPr>
      <xdr:spPr>
        <a:xfrm rot="5400000">
          <a:off x="8104248" y="16307461"/>
          <a:ext cx="1311273" cy="1226824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33</xdr:row>
      <xdr:rowOff>2152649</xdr:rowOff>
    </xdr:from>
    <xdr:to>
      <xdr:col>15</xdr:col>
      <xdr:colOff>0</xdr:colOff>
      <xdr:row>34</xdr:row>
      <xdr:rowOff>558082</xdr:rowOff>
    </xdr:to>
    <xdr:sp macro="" textlink="">
      <xdr:nvSpPr>
        <xdr:cNvPr id="50" name="Right Brace 13">
          <a:extLst>
            <a:ext uri="{FF2B5EF4-FFF2-40B4-BE49-F238E27FC236}">
              <a16:creationId xmlns:a16="http://schemas.microsoft.com/office/drawing/2014/main" id="{6A53FDA9-0BFE-4A40-BECE-284BAAF7D4BF}"/>
            </a:ext>
          </a:extLst>
        </xdr:cNvPr>
        <xdr:cNvSpPr/>
      </xdr:nvSpPr>
      <xdr:spPr>
        <a:xfrm rot="5400000" flipH="1" flipV="1">
          <a:off x="10758702" y="20931838"/>
          <a:ext cx="566742" cy="5791200"/>
        </a:xfrm>
        <a:custGeom>
          <a:avLst/>
          <a:gdLst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323850 w 590550"/>
            <a:gd name="csY1" fmla="*/ 5950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590550" h="3162301" stroke="0" extrusionOk="0">
              <a:moveTo>
                <a:pt x="0" y="0"/>
              </a:moveTo>
              <a:cubicBezTo>
                <a:pt x="163076" y="0"/>
                <a:pt x="238125" y="395221"/>
                <a:pt x="514350" y="537906"/>
              </a:cubicBezTo>
              <a:cubicBezTo>
                <a:pt x="53975" y="814150"/>
                <a:pt x="365125" y="91894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81000" y="2296724"/>
                <a:pt x="400050" y="2522472"/>
                <a:pt x="552450" y="2691070"/>
              </a:cubicBezTo>
              <a:cubicBezTo>
                <a:pt x="76200" y="2890905"/>
                <a:pt x="163076" y="3162301"/>
                <a:pt x="0" y="3162301"/>
              </a:cubicBezTo>
              <a:lnTo>
                <a:pt x="0" y="0"/>
              </a:lnTo>
              <a:close/>
            </a:path>
            <a:path w="590550" h="3162301" fill="none">
              <a:moveTo>
                <a:pt x="0" y="0"/>
              </a:moveTo>
              <a:cubicBezTo>
                <a:pt x="163076" y="0"/>
                <a:pt x="247650" y="404746"/>
                <a:pt x="514350" y="537906"/>
              </a:cubicBezTo>
              <a:cubicBezTo>
                <a:pt x="142875" y="795100"/>
                <a:pt x="295275" y="89989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90525" y="2280849"/>
                <a:pt x="390525" y="2566922"/>
                <a:pt x="542925" y="2681545"/>
              </a:cubicBezTo>
              <a:cubicBezTo>
                <a:pt x="123825" y="2843280"/>
                <a:pt x="163076" y="3162301"/>
                <a:pt x="0" y="3162301"/>
              </a:cubicBezTo>
            </a:path>
          </a:pathLst>
        </a:custGeom>
        <a:solidFill>
          <a:schemeClr val="accent4"/>
        </a:solidFill>
        <a:ln>
          <a:solidFill>
            <a:schemeClr val="tx1"/>
          </a:solidFill>
        </a:ln>
        <a:effectLst/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297180</xdr:colOff>
      <xdr:row>31</xdr:row>
      <xdr:rowOff>535305</xdr:rowOff>
    </xdr:from>
    <xdr:to>
      <xdr:col>14</xdr:col>
      <xdr:colOff>83820</xdr:colOff>
      <xdr:row>33</xdr:row>
      <xdr:rowOff>95250</xdr:rowOff>
    </xdr:to>
    <xdr:sp macro="" textlink="">
      <xdr:nvSpPr>
        <xdr:cNvPr id="51" name="Frame 50">
          <a:extLst>
            <a:ext uri="{FF2B5EF4-FFF2-40B4-BE49-F238E27FC236}">
              <a16:creationId xmlns:a16="http://schemas.microsoft.com/office/drawing/2014/main" id="{5989977B-74AB-431B-9779-7B7D9A44615D}"/>
            </a:ext>
          </a:extLst>
        </xdr:cNvPr>
        <xdr:cNvSpPr/>
      </xdr:nvSpPr>
      <xdr:spPr>
        <a:xfrm>
          <a:off x="8443653" y="17631814"/>
          <a:ext cx="5189912" cy="3854854"/>
        </a:xfrm>
        <a:prstGeom prst="frame">
          <a:avLst>
            <a:gd name="adj1" fmla="val 2500"/>
          </a:avLst>
        </a:prstGeom>
        <a:solidFill>
          <a:schemeClr val="accent4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292100</xdr:colOff>
      <xdr:row>40</xdr:row>
      <xdr:rowOff>279400</xdr:rowOff>
    </xdr:from>
    <xdr:to>
      <xdr:col>15</xdr:col>
      <xdr:colOff>0</xdr:colOff>
      <xdr:row>43</xdr:row>
      <xdr:rowOff>557900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E355CEF6-134A-49C5-995F-F20FE1B30D63}"/>
            </a:ext>
          </a:extLst>
        </xdr:cNvPr>
        <xdr:cNvSpPr/>
      </xdr:nvSpPr>
      <xdr:spPr>
        <a:xfrm rot="5400000">
          <a:off x="10522400" y="28675572"/>
          <a:ext cx="6734718" cy="95828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40</xdr:row>
      <xdr:rowOff>241300</xdr:rowOff>
    </xdr:from>
    <xdr:to>
      <xdr:col>10</xdr:col>
      <xdr:colOff>95250</xdr:colOff>
      <xdr:row>43</xdr:row>
      <xdr:rowOff>519800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832B6341-5996-4C0F-AC9B-DA0748745E6F}"/>
            </a:ext>
          </a:extLst>
        </xdr:cNvPr>
        <xdr:cNvSpPr/>
      </xdr:nvSpPr>
      <xdr:spPr>
        <a:xfrm rot="16200000" flipH="1">
          <a:off x="4826739" y="28637761"/>
          <a:ext cx="6734718" cy="9525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11</xdr:col>
      <xdr:colOff>0</xdr:colOff>
      <xdr:row>38</xdr:row>
      <xdr:rowOff>0</xdr:rowOff>
    </xdr:from>
    <xdr:to>
      <xdr:col>14</xdr:col>
      <xdr:colOff>38100</xdr:colOff>
      <xdr:row>38</xdr:row>
      <xdr:rowOff>101600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6568F4F7-C965-41E9-9B82-ECE4BDEC6148}"/>
            </a:ext>
          </a:extLst>
        </xdr:cNvPr>
        <xdr:cNvSpPr/>
      </xdr:nvSpPr>
      <xdr:spPr>
        <a:xfrm>
          <a:off x="8534400" y="24245455"/>
          <a:ext cx="5053445" cy="10160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20089</xdr:colOff>
      <xdr:row>37</xdr:row>
      <xdr:rowOff>119208</xdr:rowOff>
    </xdr:from>
    <xdr:to>
      <xdr:col>14</xdr:col>
      <xdr:colOff>378406</xdr:colOff>
      <xdr:row>40</xdr:row>
      <xdr:rowOff>542058</xdr:rowOff>
    </xdr:to>
    <xdr:sp macro="" textlink="">
      <xdr:nvSpPr>
        <xdr:cNvPr id="62" name="Right Triangle 61">
          <a:extLst>
            <a:ext uri="{FF2B5EF4-FFF2-40B4-BE49-F238E27FC236}">
              <a16:creationId xmlns:a16="http://schemas.microsoft.com/office/drawing/2014/main" id="{7D675A4C-E52C-46B6-A738-46F448E5D107}"/>
            </a:ext>
          </a:extLst>
        </xdr:cNvPr>
        <xdr:cNvSpPr/>
      </xdr:nvSpPr>
      <xdr:spPr>
        <a:xfrm rot="16200000" flipH="1">
          <a:off x="12623168" y="24313802"/>
          <a:ext cx="1378813" cy="1231153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38</xdr:row>
      <xdr:rowOff>0</xdr:rowOff>
    </xdr:from>
    <xdr:to>
      <xdr:col>11</xdr:col>
      <xdr:colOff>838897</xdr:colOff>
      <xdr:row>40</xdr:row>
      <xdr:rowOff>480000</xdr:rowOff>
    </xdr:to>
    <xdr:sp macro="" textlink="">
      <xdr:nvSpPr>
        <xdr:cNvPr id="63" name="Right Triangle 62">
          <a:extLst>
            <a:ext uri="{FF2B5EF4-FFF2-40B4-BE49-F238E27FC236}">
              <a16:creationId xmlns:a16="http://schemas.microsoft.com/office/drawing/2014/main" id="{2D18CC32-2EBE-4E57-B55C-DE57333FCA51}"/>
            </a:ext>
          </a:extLst>
        </xdr:cNvPr>
        <xdr:cNvSpPr/>
      </xdr:nvSpPr>
      <xdr:spPr>
        <a:xfrm rot="5400000">
          <a:off x="8104249" y="24287679"/>
          <a:ext cx="1311272" cy="1226824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42</xdr:row>
      <xdr:rowOff>2152649</xdr:rowOff>
    </xdr:from>
    <xdr:to>
      <xdr:col>15</xdr:col>
      <xdr:colOff>0</xdr:colOff>
      <xdr:row>43</xdr:row>
      <xdr:rowOff>558082</xdr:rowOff>
    </xdr:to>
    <xdr:sp macro="" textlink="">
      <xdr:nvSpPr>
        <xdr:cNvPr id="64" name="Right Brace 13">
          <a:extLst>
            <a:ext uri="{FF2B5EF4-FFF2-40B4-BE49-F238E27FC236}">
              <a16:creationId xmlns:a16="http://schemas.microsoft.com/office/drawing/2014/main" id="{B72C67F9-C7A5-49C0-8843-FF9282DF85D8}"/>
            </a:ext>
          </a:extLst>
        </xdr:cNvPr>
        <xdr:cNvSpPr/>
      </xdr:nvSpPr>
      <xdr:spPr>
        <a:xfrm rot="5400000" flipH="1" flipV="1">
          <a:off x="10758702" y="28912056"/>
          <a:ext cx="566742" cy="5791200"/>
        </a:xfrm>
        <a:custGeom>
          <a:avLst/>
          <a:gdLst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323850 w 590550"/>
            <a:gd name="csY1" fmla="*/ 5950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590550" h="3162301" stroke="0" extrusionOk="0">
              <a:moveTo>
                <a:pt x="0" y="0"/>
              </a:moveTo>
              <a:cubicBezTo>
                <a:pt x="163076" y="0"/>
                <a:pt x="238125" y="395221"/>
                <a:pt x="514350" y="537906"/>
              </a:cubicBezTo>
              <a:cubicBezTo>
                <a:pt x="53975" y="814150"/>
                <a:pt x="365125" y="91894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81000" y="2296724"/>
                <a:pt x="400050" y="2522472"/>
                <a:pt x="552450" y="2691070"/>
              </a:cubicBezTo>
              <a:cubicBezTo>
                <a:pt x="76200" y="2890905"/>
                <a:pt x="163076" y="3162301"/>
                <a:pt x="0" y="3162301"/>
              </a:cubicBezTo>
              <a:lnTo>
                <a:pt x="0" y="0"/>
              </a:lnTo>
              <a:close/>
            </a:path>
            <a:path w="590550" h="3162301" fill="none">
              <a:moveTo>
                <a:pt x="0" y="0"/>
              </a:moveTo>
              <a:cubicBezTo>
                <a:pt x="163076" y="0"/>
                <a:pt x="247650" y="404746"/>
                <a:pt x="514350" y="537906"/>
              </a:cubicBezTo>
              <a:cubicBezTo>
                <a:pt x="142875" y="795100"/>
                <a:pt x="295275" y="89989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90525" y="2280849"/>
                <a:pt x="390525" y="2566922"/>
                <a:pt x="542925" y="2681545"/>
              </a:cubicBezTo>
              <a:cubicBezTo>
                <a:pt x="123825" y="2843280"/>
                <a:pt x="163076" y="3162301"/>
                <a:pt x="0" y="3162301"/>
              </a:cubicBezTo>
            </a:path>
          </a:pathLst>
        </a:custGeom>
        <a:solidFill>
          <a:schemeClr val="accent4"/>
        </a:solidFill>
        <a:ln>
          <a:solidFill>
            <a:schemeClr val="tx1"/>
          </a:solidFill>
        </a:ln>
        <a:effectLst/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297180</xdr:colOff>
      <xdr:row>40</xdr:row>
      <xdr:rowOff>535305</xdr:rowOff>
    </xdr:from>
    <xdr:to>
      <xdr:col>14</xdr:col>
      <xdr:colOff>83820</xdr:colOff>
      <xdr:row>42</xdr:row>
      <xdr:rowOff>95250</xdr:rowOff>
    </xdr:to>
    <xdr:sp macro="" textlink="">
      <xdr:nvSpPr>
        <xdr:cNvPr id="65" name="Frame 64">
          <a:extLst>
            <a:ext uri="{FF2B5EF4-FFF2-40B4-BE49-F238E27FC236}">
              <a16:creationId xmlns:a16="http://schemas.microsoft.com/office/drawing/2014/main" id="{B5C38C7F-1118-4C60-9481-62CF2B693FC7}"/>
            </a:ext>
          </a:extLst>
        </xdr:cNvPr>
        <xdr:cNvSpPr/>
      </xdr:nvSpPr>
      <xdr:spPr>
        <a:xfrm>
          <a:off x="8443653" y="25612032"/>
          <a:ext cx="5189912" cy="3854854"/>
        </a:xfrm>
        <a:prstGeom prst="frame">
          <a:avLst>
            <a:gd name="adj1" fmla="val 2500"/>
          </a:avLst>
        </a:prstGeom>
        <a:solidFill>
          <a:schemeClr val="accent4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292100</xdr:colOff>
      <xdr:row>49</xdr:row>
      <xdr:rowOff>279400</xdr:rowOff>
    </xdr:from>
    <xdr:to>
      <xdr:col>15</xdr:col>
      <xdr:colOff>0</xdr:colOff>
      <xdr:row>52</xdr:row>
      <xdr:rowOff>557900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8320AD33-F2A7-4344-9B33-98F6FAAEEBDC}"/>
            </a:ext>
          </a:extLst>
        </xdr:cNvPr>
        <xdr:cNvSpPr/>
      </xdr:nvSpPr>
      <xdr:spPr>
        <a:xfrm rot="5400000">
          <a:off x="10522399" y="36655791"/>
          <a:ext cx="6734719" cy="95828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49</xdr:row>
      <xdr:rowOff>241300</xdr:rowOff>
    </xdr:from>
    <xdr:to>
      <xdr:col>10</xdr:col>
      <xdr:colOff>95250</xdr:colOff>
      <xdr:row>52</xdr:row>
      <xdr:rowOff>519800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E9AABE6F-08ED-4DEC-8282-ED18C20EA5F5}"/>
            </a:ext>
          </a:extLst>
        </xdr:cNvPr>
        <xdr:cNvSpPr/>
      </xdr:nvSpPr>
      <xdr:spPr>
        <a:xfrm rot="16200000" flipH="1">
          <a:off x="4826738" y="36617980"/>
          <a:ext cx="6734719" cy="9525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11</xdr:col>
      <xdr:colOff>0</xdr:colOff>
      <xdr:row>47</xdr:row>
      <xdr:rowOff>0</xdr:rowOff>
    </xdr:from>
    <xdr:to>
      <xdr:col>14</xdr:col>
      <xdr:colOff>38100</xdr:colOff>
      <xdr:row>47</xdr:row>
      <xdr:rowOff>101600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FF0C58CA-9E9E-4DCC-B136-2724703B022D}"/>
            </a:ext>
          </a:extLst>
        </xdr:cNvPr>
        <xdr:cNvSpPr/>
      </xdr:nvSpPr>
      <xdr:spPr>
        <a:xfrm>
          <a:off x="8534400" y="32225673"/>
          <a:ext cx="5053445" cy="10160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20089</xdr:colOff>
      <xdr:row>46</xdr:row>
      <xdr:rowOff>119208</xdr:rowOff>
    </xdr:from>
    <xdr:to>
      <xdr:col>14</xdr:col>
      <xdr:colOff>378406</xdr:colOff>
      <xdr:row>49</xdr:row>
      <xdr:rowOff>542058</xdr:rowOff>
    </xdr:to>
    <xdr:sp macro="" textlink="">
      <xdr:nvSpPr>
        <xdr:cNvPr id="76" name="Right Triangle 75">
          <a:extLst>
            <a:ext uri="{FF2B5EF4-FFF2-40B4-BE49-F238E27FC236}">
              <a16:creationId xmlns:a16="http://schemas.microsoft.com/office/drawing/2014/main" id="{0FAAC6F0-2272-4326-99FD-393D6BA06515}"/>
            </a:ext>
          </a:extLst>
        </xdr:cNvPr>
        <xdr:cNvSpPr/>
      </xdr:nvSpPr>
      <xdr:spPr>
        <a:xfrm rot="16200000" flipH="1">
          <a:off x="12623168" y="32294020"/>
          <a:ext cx="1378813" cy="1231153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47</xdr:row>
      <xdr:rowOff>0</xdr:rowOff>
    </xdr:from>
    <xdr:to>
      <xdr:col>11</xdr:col>
      <xdr:colOff>838897</xdr:colOff>
      <xdr:row>49</xdr:row>
      <xdr:rowOff>480000</xdr:rowOff>
    </xdr:to>
    <xdr:sp macro="" textlink="">
      <xdr:nvSpPr>
        <xdr:cNvPr id="77" name="Right Triangle 76">
          <a:extLst>
            <a:ext uri="{FF2B5EF4-FFF2-40B4-BE49-F238E27FC236}">
              <a16:creationId xmlns:a16="http://schemas.microsoft.com/office/drawing/2014/main" id="{3A98A064-8A0A-4226-94F1-18F20C55A7BB}"/>
            </a:ext>
          </a:extLst>
        </xdr:cNvPr>
        <xdr:cNvSpPr/>
      </xdr:nvSpPr>
      <xdr:spPr>
        <a:xfrm rot="5400000">
          <a:off x="8104249" y="32267897"/>
          <a:ext cx="1311272" cy="1226824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51</xdr:row>
      <xdr:rowOff>2152649</xdr:rowOff>
    </xdr:from>
    <xdr:to>
      <xdr:col>15</xdr:col>
      <xdr:colOff>0</xdr:colOff>
      <xdr:row>52</xdr:row>
      <xdr:rowOff>558082</xdr:rowOff>
    </xdr:to>
    <xdr:sp macro="" textlink="">
      <xdr:nvSpPr>
        <xdr:cNvPr id="78" name="Right Brace 13">
          <a:extLst>
            <a:ext uri="{FF2B5EF4-FFF2-40B4-BE49-F238E27FC236}">
              <a16:creationId xmlns:a16="http://schemas.microsoft.com/office/drawing/2014/main" id="{EE8D5B25-148A-4093-B19A-24FCF00C67E4}"/>
            </a:ext>
          </a:extLst>
        </xdr:cNvPr>
        <xdr:cNvSpPr/>
      </xdr:nvSpPr>
      <xdr:spPr>
        <a:xfrm rot="5400000" flipH="1" flipV="1">
          <a:off x="10758702" y="36892275"/>
          <a:ext cx="566742" cy="5791200"/>
        </a:xfrm>
        <a:custGeom>
          <a:avLst/>
          <a:gdLst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323850 w 590550"/>
            <a:gd name="csY1" fmla="*/ 5950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590550" h="3162301" stroke="0" extrusionOk="0">
              <a:moveTo>
                <a:pt x="0" y="0"/>
              </a:moveTo>
              <a:cubicBezTo>
                <a:pt x="163076" y="0"/>
                <a:pt x="238125" y="395221"/>
                <a:pt x="514350" y="537906"/>
              </a:cubicBezTo>
              <a:cubicBezTo>
                <a:pt x="53975" y="814150"/>
                <a:pt x="365125" y="91894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81000" y="2296724"/>
                <a:pt x="400050" y="2522472"/>
                <a:pt x="552450" y="2691070"/>
              </a:cubicBezTo>
              <a:cubicBezTo>
                <a:pt x="76200" y="2890905"/>
                <a:pt x="163076" y="3162301"/>
                <a:pt x="0" y="3162301"/>
              </a:cubicBezTo>
              <a:lnTo>
                <a:pt x="0" y="0"/>
              </a:lnTo>
              <a:close/>
            </a:path>
            <a:path w="590550" h="3162301" fill="none">
              <a:moveTo>
                <a:pt x="0" y="0"/>
              </a:moveTo>
              <a:cubicBezTo>
                <a:pt x="163076" y="0"/>
                <a:pt x="247650" y="404746"/>
                <a:pt x="514350" y="537906"/>
              </a:cubicBezTo>
              <a:cubicBezTo>
                <a:pt x="142875" y="795100"/>
                <a:pt x="295275" y="89989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90525" y="2280849"/>
                <a:pt x="390525" y="2566922"/>
                <a:pt x="542925" y="2681545"/>
              </a:cubicBezTo>
              <a:cubicBezTo>
                <a:pt x="123825" y="2843280"/>
                <a:pt x="163076" y="3162301"/>
                <a:pt x="0" y="3162301"/>
              </a:cubicBezTo>
            </a:path>
          </a:pathLst>
        </a:custGeom>
        <a:solidFill>
          <a:schemeClr val="accent4"/>
        </a:solidFill>
        <a:ln>
          <a:solidFill>
            <a:schemeClr val="tx1"/>
          </a:solidFill>
        </a:ln>
        <a:effectLst/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297180</xdr:colOff>
      <xdr:row>49</xdr:row>
      <xdr:rowOff>535305</xdr:rowOff>
    </xdr:from>
    <xdr:to>
      <xdr:col>14</xdr:col>
      <xdr:colOff>83820</xdr:colOff>
      <xdr:row>51</xdr:row>
      <xdr:rowOff>95250</xdr:rowOff>
    </xdr:to>
    <xdr:sp macro="" textlink="">
      <xdr:nvSpPr>
        <xdr:cNvPr id="79" name="Frame 78">
          <a:extLst>
            <a:ext uri="{FF2B5EF4-FFF2-40B4-BE49-F238E27FC236}">
              <a16:creationId xmlns:a16="http://schemas.microsoft.com/office/drawing/2014/main" id="{55B19670-CF36-4293-BD32-D05FEE5D1AE8}"/>
            </a:ext>
          </a:extLst>
        </xdr:cNvPr>
        <xdr:cNvSpPr/>
      </xdr:nvSpPr>
      <xdr:spPr>
        <a:xfrm>
          <a:off x="8443653" y="33592250"/>
          <a:ext cx="5189912" cy="3854855"/>
        </a:xfrm>
        <a:prstGeom prst="frame">
          <a:avLst>
            <a:gd name="adj1" fmla="val 2500"/>
          </a:avLst>
        </a:prstGeom>
        <a:solidFill>
          <a:schemeClr val="accent4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95250</xdr:colOff>
      <xdr:row>2</xdr:row>
      <xdr:rowOff>95250</xdr:rowOff>
    </xdr:from>
    <xdr:to>
      <xdr:col>14</xdr:col>
      <xdr:colOff>331607</xdr:colOff>
      <xdr:row>4</xdr:row>
      <xdr:rowOff>358821</xdr:rowOff>
    </xdr:to>
    <xdr:sp macro="" textlink="">
      <xdr:nvSpPr>
        <xdr:cNvPr id="53" name="Oval 52">
          <a:extLst>
            <a:ext uri="{FF2B5EF4-FFF2-40B4-BE49-F238E27FC236}">
              <a16:creationId xmlns:a16="http://schemas.microsoft.com/office/drawing/2014/main" id="{A23403CE-55B9-6337-A5C5-428546BC1A16}"/>
            </a:ext>
          </a:extLst>
        </xdr:cNvPr>
        <xdr:cNvSpPr/>
      </xdr:nvSpPr>
      <xdr:spPr>
        <a:xfrm>
          <a:off x="12464143" y="408214"/>
          <a:ext cx="1080000" cy="1080000"/>
        </a:xfrm>
        <a:prstGeom prst="ellipse">
          <a:avLst/>
        </a:prstGeom>
        <a:solidFill>
          <a:schemeClr val="accent4"/>
        </a:solidFill>
        <a:ln>
          <a:solidFill>
            <a:sysClr val="windowText" lastClr="000000"/>
          </a:solidFill>
        </a:ln>
        <a:scene3d>
          <a:camera prst="orthographicFront"/>
          <a:lightRig rig="threePt" dir="t"/>
        </a:scene3d>
        <a:sp3d>
          <a:bevelT w="165100" prst="coolSlant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63955</xdr:colOff>
      <xdr:row>2</xdr:row>
      <xdr:rowOff>98592</xdr:rowOff>
    </xdr:from>
    <xdr:to>
      <xdr:col>11</xdr:col>
      <xdr:colOff>762955</xdr:colOff>
      <xdr:row>4</xdr:row>
      <xdr:rowOff>362163</xdr:rowOff>
    </xdr:to>
    <xdr:sp macro="" textlink="">
      <xdr:nvSpPr>
        <xdr:cNvPr id="54" name="Oval 53">
          <a:extLst>
            <a:ext uri="{FF2B5EF4-FFF2-40B4-BE49-F238E27FC236}">
              <a16:creationId xmlns:a16="http://schemas.microsoft.com/office/drawing/2014/main" id="{D8382B8D-6FFA-4FEC-A911-6E277F831661}"/>
            </a:ext>
          </a:extLst>
        </xdr:cNvPr>
        <xdr:cNvSpPr/>
      </xdr:nvSpPr>
      <xdr:spPr>
        <a:xfrm>
          <a:off x="8064955" y="410319"/>
          <a:ext cx="1080000" cy="1077526"/>
        </a:xfrm>
        <a:prstGeom prst="ellipse">
          <a:avLst/>
        </a:prstGeom>
        <a:solidFill>
          <a:schemeClr val="accent4"/>
        </a:solidFill>
        <a:ln>
          <a:solidFill>
            <a:sysClr val="windowText" lastClr="000000"/>
          </a:solidFill>
        </a:ln>
        <a:scene3d>
          <a:camera prst="orthographicFront"/>
          <a:lightRig rig="threePt" dir="t"/>
        </a:scene3d>
        <a:sp3d>
          <a:bevelT w="165100" prst="coolSlant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292100</xdr:colOff>
      <xdr:row>4</xdr:row>
      <xdr:rowOff>279400</xdr:rowOff>
    </xdr:from>
    <xdr:to>
      <xdr:col>15</xdr:col>
      <xdr:colOff>0</xdr:colOff>
      <xdr:row>7</xdr:row>
      <xdr:rowOff>557900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DCEB3A91-58E7-490A-B9FA-D95FF9D9B2AF}"/>
            </a:ext>
          </a:extLst>
        </xdr:cNvPr>
        <xdr:cNvSpPr/>
      </xdr:nvSpPr>
      <xdr:spPr>
        <a:xfrm rot="5400000">
          <a:off x="10015670" y="4835710"/>
          <a:ext cx="7197460" cy="9652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 w="19050">
          <a:solidFill>
            <a:schemeClr val="tx1"/>
          </a:solidFill>
        </a:ln>
        <a:scene3d>
          <a:camera prst="orthographicFront"/>
          <a:lightRig rig="threePt" dir="t"/>
        </a:scene3d>
        <a:sp3d>
          <a:bevelT prst="angle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4</xdr:row>
      <xdr:rowOff>241300</xdr:rowOff>
    </xdr:from>
    <xdr:to>
      <xdr:col>10</xdr:col>
      <xdr:colOff>95250</xdr:colOff>
      <xdr:row>7</xdr:row>
      <xdr:rowOff>519800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48B8D7C5-169A-4E39-B4A4-8276DBC6EEAB}"/>
            </a:ext>
          </a:extLst>
        </xdr:cNvPr>
        <xdr:cNvSpPr/>
      </xdr:nvSpPr>
      <xdr:spPr>
        <a:xfrm rot="16200000" flipH="1">
          <a:off x="4465135" y="4798245"/>
          <a:ext cx="7197460" cy="9525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 w="19050">
          <a:solidFill>
            <a:schemeClr val="tx1"/>
          </a:solidFill>
        </a:ln>
        <a:scene3d>
          <a:camera prst="orthographicFront"/>
          <a:lightRig rig="threePt" dir="t"/>
        </a:scene3d>
        <a:sp3d>
          <a:bevelT prst="angle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11</xdr:col>
      <xdr:colOff>0</xdr:colOff>
      <xdr:row>2</xdr:row>
      <xdr:rowOff>0</xdr:rowOff>
    </xdr:from>
    <xdr:to>
      <xdr:col>14</xdr:col>
      <xdr:colOff>38100</xdr:colOff>
      <xdr:row>2</xdr:row>
      <xdr:rowOff>101600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834AC08C-4D1B-4F8F-9914-B551BB399E56}"/>
            </a:ext>
          </a:extLst>
        </xdr:cNvPr>
        <xdr:cNvSpPr/>
      </xdr:nvSpPr>
      <xdr:spPr>
        <a:xfrm>
          <a:off x="8404860" y="243840"/>
          <a:ext cx="4907280" cy="1016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 w="19050">
          <a:solidFill>
            <a:schemeClr val="tx1"/>
          </a:solidFill>
        </a:ln>
        <a:scene3d>
          <a:camera prst="orthographicFront"/>
          <a:lightRig rig="threePt" dir="t"/>
        </a:scene3d>
        <a:sp3d>
          <a:bevelT prst="angle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20089</xdr:colOff>
      <xdr:row>2</xdr:row>
      <xdr:rowOff>4908</xdr:rowOff>
    </xdr:from>
    <xdr:to>
      <xdr:col>14</xdr:col>
      <xdr:colOff>387931</xdr:colOff>
      <xdr:row>4</xdr:row>
      <xdr:rowOff>484908</xdr:rowOff>
    </xdr:to>
    <xdr:sp macro="" textlink="">
      <xdr:nvSpPr>
        <xdr:cNvPr id="55" name="Right Triangle 54">
          <a:extLst>
            <a:ext uri="{FF2B5EF4-FFF2-40B4-BE49-F238E27FC236}">
              <a16:creationId xmlns:a16="http://schemas.microsoft.com/office/drawing/2014/main" id="{F2BAB6EB-C0B9-45AE-B308-FA168659F2E0}"/>
            </a:ext>
          </a:extLst>
        </xdr:cNvPr>
        <xdr:cNvSpPr/>
      </xdr:nvSpPr>
      <xdr:spPr>
        <a:xfrm rot="16200000" flipH="1">
          <a:off x="12422710" y="251487"/>
          <a:ext cx="1242000" cy="1236522"/>
        </a:xfrm>
        <a:prstGeom prst="rtTriangle">
          <a:avLst/>
        </a:prstGeom>
        <a:solidFill>
          <a:schemeClr val="tx2">
            <a:lumMod val="60000"/>
            <a:lumOff val="40000"/>
          </a:schemeClr>
        </a:solidFill>
        <a:ln w="19050">
          <a:solidFill>
            <a:sysClr val="windowText" lastClr="000000"/>
          </a:solidFill>
        </a:ln>
        <a:effectLst/>
        <a:scene3d>
          <a:camera prst="orthographicFront"/>
          <a:lightRig rig="threePt" dir="t"/>
        </a:scene3d>
        <a:sp3d>
          <a:bevelT w="152400" h="50800" prst="softRound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2</xdr:row>
      <xdr:rowOff>0</xdr:rowOff>
    </xdr:from>
    <xdr:to>
      <xdr:col>11</xdr:col>
      <xdr:colOff>838897</xdr:colOff>
      <xdr:row>4</xdr:row>
      <xdr:rowOff>480000</xdr:rowOff>
    </xdr:to>
    <xdr:sp macro="" textlink="">
      <xdr:nvSpPr>
        <xdr:cNvPr id="56" name="Right Triangle 55">
          <a:extLst>
            <a:ext uri="{FF2B5EF4-FFF2-40B4-BE49-F238E27FC236}">
              <a16:creationId xmlns:a16="http://schemas.microsoft.com/office/drawing/2014/main" id="{BC06CC8F-A8C7-46CC-9BC2-8AE6FF82C9E7}"/>
            </a:ext>
          </a:extLst>
        </xdr:cNvPr>
        <xdr:cNvSpPr/>
      </xdr:nvSpPr>
      <xdr:spPr>
        <a:xfrm rot="5400000">
          <a:off x="8008999" y="251081"/>
          <a:ext cx="1242000" cy="1227517"/>
        </a:xfrm>
        <a:prstGeom prst="rtTriangle">
          <a:avLst/>
        </a:prstGeom>
        <a:solidFill>
          <a:schemeClr val="tx2">
            <a:lumMod val="60000"/>
            <a:lumOff val="40000"/>
          </a:schemeClr>
        </a:solidFill>
        <a:ln w="19050">
          <a:solidFill>
            <a:sysClr val="windowText" lastClr="000000"/>
          </a:solidFill>
        </a:ln>
        <a:effectLst/>
        <a:scene3d>
          <a:camera prst="orthographicFront"/>
          <a:lightRig rig="threePt" dir="t"/>
        </a:scene3d>
        <a:sp3d>
          <a:bevelT w="152400" h="50800" prst="softRound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1</xdr:colOff>
      <xdr:row>7</xdr:row>
      <xdr:rowOff>48167</xdr:rowOff>
    </xdr:from>
    <xdr:to>
      <xdr:col>14</xdr:col>
      <xdr:colOff>382198</xdr:colOff>
      <xdr:row>7</xdr:row>
      <xdr:rowOff>553579</xdr:rowOff>
    </xdr:to>
    <xdr:sp macro="" textlink="">
      <xdr:nvSpPr>
        <xdr:cNvPr id="57" name="Right Brace 13">
          <a:extLst>
            <a:ext uri="{FF2B5EF4-FFF2-40B4-BE49-F238E27FC236}">
              <a16:creationId xmlns:a16="http://schemas.microsoft.com/office/drawing/2014/main" id="{5BE159D0-B6F2-4D40-8B4B-6E38C6F4FE3A}"/>
            </a:ext>
          </a:extLst>
        </xdr:cNvPr>
        <xdr:cNvSpPr/>
      </xdr:nvSpPr>
      <xdr:spPr>
        <a:xfrm rot="5400000" flipH="1" flipV="1">
          <a:off x="10583534" y="5405674"/>
          <a:ext cx="505412" cy="5639997"/>
        </a:xfrm>
        <a:custGeom>
          <a:avLst/>
          <a:gdLst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514350 w 591289"/>
            <a:gd name="csY1" fmla="*/ 53790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71475 w 591289"/>
            <a:gd name="csY1" fmla="*/ 147381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81000 w 591289"/>
            <a:gd name="csY1" fmla="*/ 175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51347 h 3213648"/>
            <a:gd name="csX1" fmla="*/ 504825 w 591289"/>
            <a:gd name="csY1" fmla="*/ 608303 h 3213648"/>
            <a:gd name="csX2" fmla="*/ 295275 w 591289"/>
            <a:gd name="csY2" fmla="*/ 1151286 h 3213648"/>
            <a:gd name="csX3" fmla="*/ 590550 w 591289"/>
            <a:gd name="csY3" fmla="*/ 1651092 h 3213648"/>
            <a:gd name="csX4" fmla="*/ 295275 w 591289"/>
            <a:gd name="csY4" fmla="*/ 2150898 h 3213648"/>
            <a:gd name="csX5" fmla="*/ 495300 w 591289"/>
            <a:gd name="csY5" fmla="*/ 2694792 h 3213648"/>
            <a:gd name="csX6" fmla="*/ 0 w 591289"/>
            <a:gd name="csY6" fmla="*/ 3213648 h 3213648"/>
            <a:gd name="csX7" fmla="*/ 0 w 591289"/>
            <a:gd name="csY7" fmla="*/ 51347 h 3213648"/>
            <a:gd name="csX0" fmla="*/ 0 w 591289"/>
            <a:gd name="csY0" fmla="*/ 51347 h 3213648"/>
            <a:gd name="csX1" fmla="*/ 381000 w 591289"/>
            <a:gd name="csY1" fmla="*/ 227303 h 3213648"/>
            <a:gd name="csX2" fmla="*/ 295275 w 591289"/>
            <a:gd name="csY2" fmla="*/ 1151286 h 3213648"/>
            <a:gd name="csX3" fmla="*/ 590550 w 591289"/>
            <a:gd name="csY3" fmla="*/ 1651092 h 3213648"/>
            <a:gd name="csX4" fmla="*/ 295275 w 591289"/>
            <a:gd name="csY4" fmla="*/ 2150898 h 3213648"/>
            <a:gd name="csX5" fmla="*/ 514350 w 591289"/>
            <a:gd name="csY5" fmla="*/ 2694792 h 3213648"/>
            <a:gd name="csX6" fmla="*/ 0 w 591289"/>
            <a:gd name="csY6" fmla="*/ 3213648 h 3213648"/>
            <a:gd name="csX0" fmla="*/ 0 w 591289"/>
            <a:gd name="csY0" fmla="*/ 51347 h 3213648"/>
            <a:gd name="csX1" fmla="*/ 504825 w 591289"/>
            <a:gd name="csY1" fmla="*/ 608303 h 3213648"/>
            <a:gd name="csX2" fmla="*/ 295275 w 591289"/>
            <a:gd name="csY2" fmla="*/ 1151286 h 3213648"/>
            <a:gd name="csX3" fmla="*/ 590550 w 591289"/>
            <a:gd name="csY3" fmla="*/ 1651092 h 3213648"/>
            <a:gd name="csX4" fmla="*/ 295275 w 591289"/>
            <a:gd name="csY4" fmla="*/ 2150898 h 3213648"/>
            <a:gd name="csX5" fmla="*/ 495300 w 591289"/>
            <a:gd name="csY5" fmla="*/ 2694792 h 3213648"/>
            <a:gd name="csX6" fmla="*/ 0 w 591289"/>
            <a:gd name="csY6" fmla="*/ 3213648 h 3213648"/>
            <a:gd name="csX7" fmla="*/ 0 w 591289"/>
            <a:gd name="csY7" fmla="*/ 51347 h 3213648"/>
            <a:gd name="csX0" fmla="*/ 0 w 591289"/>
            <a:gd name="csY0" fmla="*/ 51347 h 3213648"/>
            <a:gd name="csX1" fmla="*/ 381000 w 591289"/>
            <a:gd name="csY1" fmla="*/ 227303 h 3213648"/>
            <a:gd name="csX2" fmla="*/ 295275 w 591289"/>
            <a:gd name="csY2" fmla="*/ 1151286 h 3213648"/>
            <a:gd name="csX3" fmla="*/ 590550 w 591289"/>
            <a:gd name="csY3" fmla="*/ 1651092 h 3213648"/>
            <a:gd name="csX4" fmla="*/ 295275 w 591289"/>
            <a:gd name="csY4" fmla="*/ 2150898 h 3213648"/>
            <a:gd name="csX5" fmla="*/ 514350 w 591289"/>
            <a:gd name="csY5" fmla="*/ 2694792 h 3213648"/>
            <a:gd name="csX6" fmla="*/ 0 w 591289"/>
            <a:gd name="csY6" fmla="*/ 3213648 h 3213648"/>
            <a:gd name="csX0" fmla="*/ 0 w 591289"/>
            <a:gd name="csY0" fmla="*/ 4 h 3162305"/>
            <a:gd name="csX1" fmla="*/ 504825 w 591289"/>
            <a:gd name="csY1" fmla="*/ 556960 h 3162305"/>
            <a:gd name="csX2" fmla="*/ 295275 w 591289"/>
            <a:gd name="csY2" fmla="*/ 1099943 h 3162305"/>
            <a:gd name="csX3" fmla="*/ 590550 w 591289"/>
            <a:gd name="csY3" fmla="*/ 1599749 h 3162305"/>
            <a:gd name="csX4" fmla="*/ 295275 w 591289"/>
            <a:gd name="csY4" fmla="*/ 2099555 h 3162305"/>
            <a:gd name="csX5" fmla="*/ 495300 w 591289"/>
            <a:gd name="csY5" fmla="*/ 2643449 h 3162305"/>
            <a:gd name="csX6" fmla="*/ 0 w 591289"/>
            <a:gd name="csY6" fmla="*/ 3162305 h 3162305"/>
            <a:gd name="csX7" fmla="*/ 0 w 591289"/>
            <a:gd name="csY7" fmla="*/ 4 h 3162305"/>
            <a:gd name="csX0" fmla="*/ 0 w 591289"/>
            <a:gd name="csY0" fmla="*/ 4 h 3162305"/>
            <a:gd name="csX1" fmla="*/ 466725 w 591289"/>
            <a:gd name="csY1" fmla="*/ 366460 h 3162305"/>
            <a:gd name="csX2" fmla="*/ 295275 w 591289"/>
            <a:gd name="csY2" fmla="*/ 1099943 h 3162305"/>
            <a:gd name="csX3" fmla="*/ 590550 w 591289"/>
            <a:gd name="csY3" fmla="*/ 1599749 h 3162305"/>
            <a:gd name="csX4" fmla="*/ 295275 w 591289"/>
            <a:gd name="csY4" fmla="*/ 2099555 h 3162305"/>
            <a:gd name="csX5" fmla="*/ 514350 w 591289"/>
            <a:gd name="csY5" fmla="*/ 2643449 h 3162305"/>
            <a:gd name="csX6" fmla="*/ 0 w 591289"/>
            <a:gd name="csY6" fmla="*/ 3162305 h 3162305"/>
            <a:gd name="csX0" fmla="*/ 0 w 591289"/>
            <a:gd name="csY0" fmla="*/ 4 h 3162305"/>
            <a:gd name="csX1" fmla="*/ 504825 w 591289"/>
            <a:gd name="csY1" fmla="*/ 556960 h 3162305"/>
            <a:gd name="csX2" fmla="*/ 295275 w 591289"/>
            <a:gd name="csY2" fmla="*/ 1099943 h 3162305"/>
            <a:gd name="csX3" fmla="*/ 590550 w 591289"/>
            <a:gd name="csY3" fmla="*/ 1599749 h 3162305"/>
            <a:gd name="csX4" fmla="*/ 295275 w 591289"/>
            <a:gd name="csY4" fmla="*/ 2099555 h 3162305"/>
            <a:gd name="csX5" fmla="*/ 495300 w 591289"/>
            <a:gd name="csY5" fmla="*/ 2643449 h 3162305"/>
            <a:gd name="csX6" fmla="*/ 0 w 591289"/>
            <a:gd name="csY6" fmla="*/ 3162305 h 3162305"/>
            <a:gd name="csX7" fmla="*/ 0 w 591289"/>
            <a:gd name="csY7" fmla="*/ 4 h 3162305"/>
            <a:gd name="csX0" fmla="*/ 0 w 591289"/>
            <a:gd name="csY0" fmla="*/ 4 h 3162305"/>
            <a:gd name="csX1" fmla="*/ 466725 w 591289"/>
            <a:gd name="csY1" fmla="*/ 366460 h 3162305"/>
            <a:gd name="csX2" fmla="*/ 295275 w 591289"/>
            <a:gd name="csY2" fmla="*/ 1099943 h 3162305"/>
            <a:gd name="csX3" fmla="*/ 590550 w 591289"/>
            <a:gd name="csY3" fmla="*/ 1599749 h 3162305"/>
            <a:gd name="csX4" fmla="*/ 295275 w 591289"/>
            <a:gd name="csY4" fmla="*/ 2099555 h 3162305"/>
            <a:gd name="csX5" fmla="*/ 514350 w 591289"/>
            <a:gd name="csY5" fmla="*/ 2643449 h 3162305"/>
            <a:gd name="csX6" fmla="*/ 0 w 591289"/>
            <a:gd name="csY6" fmla="*/ 3162305 h 3162305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428625 w 591289"/>
            <a:gd name="csY3" fmla="*/ 1599745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609270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609270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609270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609270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609270 h 3162301"/>
            <a:gd name="csX4" fmla="*/ 295275 w 591289"/>
            <a:gd name="csY4" fmla="*/ 2099551 h 3162301"/>
            <a:gd name="csX5" fmla="*/ 276225 w 591289"/>
            <a:gd name="csY5" fmla="*/ 2700595 h 3162301"/>
            <a:gd name="csX6" fmla="*/ 0 w 591289"/>
            <a:gd name="csY6" fmla="*/ 3162301 h 3162301"/>
            <a:gd name="csX0" fmla="*/ 0 w 591289"/>
            <a:gd name="csY0" fmla="*/ 0 h 3165498"/>
            <a:gd name="csX1" fmla="*/ 5048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495300 w 591289"/>
            <a:gd name="csY5" fmla="*/ 26434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5048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495300 w 591289"/>
            <a:gd name="csY5" fmla="*/ 26434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5048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5048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295275 w 591289"/>
            <a:gd name="csY1" fmla="*/ 395031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295275 w 591289"/>
            <a:gd name="csY1" fmla="*/ 395031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295275 w 591289"/>
            <a:gd name="csY1" fmla="*/ 395031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295275 w 591289"/>
            <a:gd name="csY1" fmla="*/ 395031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43815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295275 w 591289"/>
            <a:gd name="csY1" fmla="*/ 395031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400050 w 591289"/>
            <a:gd name="csY1" fmla="*/ 528381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3905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400050 w 591289"/>
            <a:gd name="csY1" fmla="*/ 528381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3905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400050 w 591289"/>
            <a:gd name="csY1" fmla="*/ 528381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419100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3905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400050 w 591289"/>
            <a:gd name="csY1" fmla="*/ 528381 h 3165498"/>
            <a:gd name="csX2" fmla="*/ 295275 w 591289"/>
            <a:gd name="csY2" fmla="*/ 1099939 h 3165498"/>
            <a:gd name="csX3" fmla="*/ 447675 w 591289"/>
            <a:gd name="csY3" fmla="*/ 1618795 h 3165498"/>
            <a:gd name="csX4" fmla="*/ 295275 w 591289"/>
            <a:gd name="csY4" fmla="*/ 2099551 h 3165498"/>
            <a:gd name="csX5" fmla="*/ 419100 w 591289"/>
            <a:gd name="csY5" fmla="*/ 2700595 h 3165498"/>
            <a:gd name="csX6" fmla="*/ 0 w 591289"/>
            <a:gd name="csY6" fmla="*/ 3162301 h 3165498"/>
            <a:gd name="csX0" fmla="*/ 0 w 448993"/>
            <a:gd name="csY0" fmla="*/ 0 h 3165498"/>
            <a:gd name="csX1" fmla="*/ 390525 w 448993"/>
            <a:gd name="csY1" fmla="*/ 556956 h 3165498"/>
            <a:gd name="csX2" fmla="*/ 295275 w 448993"/>
            <a:gd name="csY2" fmla="*/ 1099939 h 3165498"/>
            <a:gd name="csX3" fmla="*/ 438150 w 448993"/>
            <a:gd name="csY3" fmla="*/ 1618795 h 3165498"/>
            <a:gd name="csX4" fmla="*/ 295275 w 448993"/>
            <a:gd name="csY4" fmla="*/ 2099551 h 3165498"/>
            <a:gd name="csX5" fmla="*/ 266700 w 448993"/>
            <a:gd name="csY5" fmla="*/ 2681545 h 3165498"/>
            <a:gd name="csX6" fmla="*/ 0 w 448993"/>
            <a:gd name="csY6" fmla="*/ 3162301 h 3165498"/>
            <a:gd name="csX7" fmla="*/ 0 w 448993"/>
            <a:gd name="csY7" fmla="*/ 0 h 3165498"/>
            <a:gd name="csX0" fmla="*/ 0 w 448993"/>
            <a:gd name="csY0" fmla="*/ 0 h 3165498"/>
            <a:gd name="csX1" fmla="*/ 400050 w 448993"/>
            <a:gd name="csY1" fmla="*/ 528381 h 3165498"/>
            <a:gd name="csX2" fmla="*/ 295275 w 448993"/>
            <a:gd name="csY2" fmla="*/ 1099939 h 3165498"/>
            <a:gd name="csX3" fmla="*/ 447675 w 448993"/>
            <a:gd name="csY3" fmla="*/ 1618795 h 3165498"/>
            <a:gd name="csX4" fmla="*/ 295275 w 448993"/>
            <a:gd name="csY4" fmla="*/ 2099551 h 3165498"/>
            <a:gd name="csX5" fmla="*/ 419100 w 448993"/>
            <a:gd name="csY5" fmla="*/ 2700595 h 3165498"/>
            <a:gd name="csX6" fmla="*/ 0 w 448993"/>
            <a:gd name="csY6" fmla="*/ 3162301 h 3165498"/>
            <a:gd name="csX0" fmla="*/ 0 w 448993"/>
            <a:gd name="csY0" fmla="*/ 0 h 3165498"/>
            <a:gd name="csX1" fmla="*/ 390525 w 448993"/>
            <a:gd name="csY1" fmla="*/ 556956 h 3165498"/>
            <a:gd name="csX2" fmla="*/ 295275 w 448993"/>
            <a:gd name="csY2" fmla="*/ 1099939 h 3165498"/>
            <a:gd name="csX3" fmla="*/ 438150 w 448993"/>
            <a:gd name="csY3" fmla="*/ 1618795 h 3165498"/>
            <a:gd name="csX4" fmla="*/ 295275 w 448993"/>
            <a:gd name="csY4" fmla="*/ 2099551 h 3165498"/>
            <a:gd name="csX5" fmla="*/ 409575 w 448993"/>
            <a:gd name="csY5" fmla="*/ 2710120 h 3165498"/>
            <a:gd name="csX6" fmla="*/ 0 w 448993"/>
            <a:gd name="csY6" fmla="*/ 3162301 h 3165498"/>
            <a:gd name="csX7" fmla="*/ 0 w 448993"/>
            <a:gd name="csY7" fmla="*/ 0 h 3165498"/>
            <a:gd name="csX0" fmla="*/ 0 w 448993"/>
            <a:gd name="csY0" fmla="*/ 0 h 3165498"/>
            <a:gd name="csX1" fmla="*/ 400050 w 448993"/>
            <a:gd name="csY1" fmla="*/ 528381 h 3165498"/>
            <a:gd name="csX2" fmla="*/ 295275 w 448993"/>
            <a:gd name="csY2" fmla="*/ 1099939 h 3165498"/>
            <a:gd name="csX3" fmla="*/ 447675 w 448993"/>
            <a:gd name="csY3" fmla="*/ 1618795 h 3165498"/>
            <a:gd name="csX4" fmla="*/ 295275 w 448993"/>
            <a:gd name="csY4" fmla="*/ 2099551 h 3165498"/>
            <a:gd name="csX5" fmla="*/ 419100 w 448993"/>
            <a:gd name="csY5" fmla="*/ 2700595 h 3165498"/>
            <a:gd name="csX6" fmla="*/ 0 w 448993"/>
            <a:gd name="csY6" fmla="*/ 3162301 h 3165498"/>
            <a:gd name="csX0" fmla="*/ 0 w 448993"/>
            <a:gd name="csY0" fmla="*/ 0 h 3165498"/>
            <a:gd name="csX1" fmla="*/ 390525 w 448993"/>
            <a:gd name="csY1" fmla="*/ 556956 h 3165498"/>
            <a:gd name="csX2" fmla="*/ 295275 w 448993"/>
            <a:gd name="csY2" fmla="*/ 1099939 h 3165498"/>
            <a:gd name="csX3" fmla="*/ 438150 w 448993"/>
            <a:gd name="csY3" fmla="*/ 1618795 h 3165498"/>
            <a:gd name="csX4" fmla="*/ 295275 w 448993"/>
            <a:gd name="csY4" fmla="*/ 2099551 h 3165498"/>
            <a:gd name="csX5" fmla="*/ 409575 w 448993"/>
            <a:gd name="csY5" fmla="*/ 2710120 h 3165498"/>
            <a:gd name="csX6" fmla="*/ 0 w 448993"/>
            <a:gd name="csY6" fmla="*/ 3162301 h 3165498"/>
            <a:gd name="csX7" fmla="*/ 0 w 448993"/>
            <a:gd name="csY7" fmla="*/ 0 h 3165498"/>
            <a:gd name="csX0" fmla="*/ 0 w 448993"/>
            <a:gd name="csY0" fmla="*/ 0 h 3165498"/>
            <a:gd name="csX1" fmla="*/ 400050 w 448993"/>
            <a:gd name="csY1" fmla="*/ 528381 h 3165498"/>
            <a:gd name="csX2" fmla="*/ 295275 w 448993"/>
            <a:gd name="csY2" fmla="*/ 1099939 h 3165498"/>
            <a:gd name="csX3" fmla="*/ 447675 w 448993"/>
            <a:gd name="csY3" fmla="*/ 1618795 h 3165498"/>
            <a:gd name="csX4" fmla="*/ 295275 w 448993"/>
            <a:gd name="csY4" fmla="*/ 2099551 h 3165498"/>
            <a:gd name="csX5" fmla="*/ 419100 w 448993"/>
            <a:gd name="csY5" fmla="*/ 2700595 h 3165498"/>
            <a:gd name="csX6" fmla="*/ 0 w 448993"/>
            <a:gd name="csY6" fmla="*/ 3162301 h 3165498"/>
            <a:gd name="csX0" fmla="*/ 0 w 448993"/>
            <a:gd name="csY0" fmla="*/ 0 h 3165498"/>
            <a:gd name="csX1" fmla="*/ 390525 w 448993"/>
            <a:gd name="csY1" fmla="*/ 556956 h 3165498"/>
            <a:gd name="csX2" fmla="*/ 295275 w 448993"/>
            <a:gd name="csY2" fmla="*/ 1099939 h 3165498"/>
            <a:gd name="csX3" fmla="*/ 438150 w 448993"/>
            <a:gd name="csY3" fmla="*/ 1618795 h 3165498"/>
            <a:gd name="csX4" fmla="*/ 295275 w 448993"/>
            <a:gd name="csY4" fmla="*/ 2099551 h 3165498"/>
            <a:gd name="csX5" fmla="*/ 409575 w 448993"/>
            <a:gd name="csY5" fmla="*/ 2710120 h 3165498"/>
            <a:gd name="csX6" fmla="*/ 0 w 448993"/>
            <a:gd name="csY6" fmla="*/ 3162301 h 3165498"/>
            <a:gd name="csX7" fmla="*/ 0 w 448993"/>
            <a:gd name="csY7" fmla="*/ 0 h 3165498"/>
            <a:gd name="csX0" fmla="*/ 0 w 448993"/>
            <a:gd name="csY0" fmla="*/ 0 h 3165498"/>
            <a:gd name="csX1" fmla="*/ 400050 w 448993"/>
            <a:gd name="csY1" fmla="*/ 528381 h 3165498"/>
            <a:gd name="csX2" fmla="*/ 295275 w 448993"/>
            <a:gd name="csY2" fmla="*/ 1099939 h 3165498"/>
            <a:gd name="csX3" fmla="*/ 447675 w 448993"/>
            <a:gd name="csY3" fmla="*/ 1618795 h 3165498"/>
            <a:gd name="csX4" fmla="*/ 295275 w 448993"/>
            <a:gd name="csY4" fmla="*/ 2099551 h 3165498"/>
            <a:gd name="csX5" fmla="*/ 419100 w 448993"/>
            <a:gd name="csY5" fmla="*/ 2700595 h 3165498"/>
            <a:gd name="csX6" fmla="*/ 0 w 448993"/>
            <a:gd name="csY6" fmla="*/ 3162301 h 3165498"/>
            <a:gd name="csX0" fmla="*/ 0 w 562784"/>
            <a:gd name="csY0" fmla="*/ 0 h 3165498"/>
            <a:gd name="csX1" fmla="*/ 390525 w 562784"/>
            <a:gd name="csY1" fmla="*/ 556956 h 3165498"/>
            <a:gd name="csX2" fmla="*/ 295275 w 562784"/>
            <a:gd name="csY2" fmla="*/ 1099939 h 3165498"/>
            <a:gd name="csX3" fmla="*/ 438150 w 562784"/>
            <a:gd name="csY3" fmla="*/ 1618795 h 3165498"/>
            <a:gd name="csX4" fmla="*/ 295275 w 562784"/>
            <a:gd name="csY4" fmla="*/ 2099551 h 3165498"/>
            <a:gd name="csX5" fmla="*/ 409575 w 562784"/>
            <a:gd name="csY5" fmla="*/ 2710120 h 3165498"/>
            <a:gd name="csX6" fmla="*/ 0 w 562784"/>
            <a:gd name="csY6" fmla="*/ 3162301 h 3165498"/>
            <a:gd name="csX7" fmla="*/ 0 w 562784"/>
            <a:gd name="csY7" fmla="*/ 0 h 3165498"/>
            <a:gd name="csX0" fmla="*/ 0 w 562784"/>
            <a:gd name="csY0" fmla="*/ 0 h 3165498"/>
            <a:gd name="csX1" fmla="*/ 400050 w 562784"/>
            <a:gd name="csY1" fmla="*/ 528381 h 3165498"/>
            <a:gd name="csX2" fmla="*/ 295275 w 562784"/>
            <a:gd name="csY2" fmla="*/ 1099939 h 3165498"/>
            <a:gd name="csX3" fmla="*/ 561974 w 562784"/>
            <a:gd name="csY3" fmla="*/ 1581149 h 3165498"/>
            <a:gd name="csX4" fmla="*/ 295275 w 562784"/>
            <a:gd name="csY4" fmla="*/ 2099551 h 3165498"/>
            <a:gd name="csX5" fmla="*/ 419100 w 562784"/>
            <a:gd name="csY5" fmla="*/ 2700595 h 3165498"/>
            <a:gd name="csX6" fmla="*/ 0 w 562784"/>
            <a:gd name="csY6" fmla="*/ 3162301 h 3165498"/>
            <a:gd name="csX0" fmla="*/ 0 w 855411"/>
            <a:gd name="csY0" fmla="*/ 0 h 3165498"/>
            <a:gd name="csX1" fmla="*/ 390525 w 855411"/>
            <a:gd name="csY1" fmla="*/ 556956 h 3165498"/>
            <a:gd name="csX2" fmla="*/ 295275 w 855411"/>
            <a:gd name="csY2" fmla="*/ 1099939 h 3165498"/>
            <a:gd name="csX3" fmla="*/ 438150 w 855411"/>
            <a:gd name="csY3" fmla="*/ 1618795 h 3165498"/>
            <a:gd name="csX4" fmla="*/ 295275 w 855411"/>
            <a:gd name="csY4" fmla="*/ 2099551 h 3165498"/>
            <a:gd name="csX5" fmla="*/ 409575 w 855411"/>
            <a:gd name="csY5" fmla="*/ 2710120 h 3165498"/>
            <a:gd name="csX6" fmla="*/ 0 w 855411"/>
            <a:gd name="csY6" fmla="*/ 3162301 h 3165498"/>
            <a:gd name="csX7" fmla="*/ 0 w 855411"/>
            <a:gd name="csY7" fmla="*/ 0 h 3165498"/>
            <a:gd name="csX0" fmla="*/ 0 w 855411"/>
            <a:gd name="csY0" fmla="*/ 0 h 3165498"/>
            <a:gd name="csX1" fmla="*/ 400050 w 855411"/>
            <a:gd name="csY1" fmla="*/ 528381 h 3165498"/>
            <a:gd name="csX2" fmla="*/ 295275 w 855411"/>
            <a:gd name="csY2" fmla="*/ 1099939 h 3165498"/>
            <a:gd name="csX3" fmla="*/ 561974 w 855411"/>
            <a:gd name="csY3" fmla="*/ 1581149 h 3165498"/>
            <a:gd name="csX4" fmla="*/ 295275 w 855411"/>
            <a:gd name="csY4" fmla="*/ 2099551 h 3165498"/>
            <a:gd name="csX5" fmla="*/ 419100 w 855411"/>
            <a:gd name="csY5" fmla="*/ 2700595 h 3165498"/>
            <a:gd name="csX6" fmla="*/ 0 w 855411"/>
            <a:gd name="csY6" fmla="*/ 3162301 h 3165498"/>
            <a:gd name="csX0" fmla="*/ 0 w 562214"/>
            <a:gd name="csY0" fmla="*/ 0 h 3165498"/>
            <a:gd name="csX1" fmla="*/ 390525 w 562214"/>
            <a:gd name="csY1" fmla="*/ 556956 h 3165498"/>
            <a:gd name="csX2" fmla="*/ 295275 w 562214"/>
            <a:gd name="csY2" fmla="*/ 1099939 h 3165498"/>
            <a:gd name="csX3" fmla="*/ 438150 w 562214"/>
            <a:gd name="csY3" fmla="*/ 1618795 h 3165498"/>
            <a:gd name="csX4" fmla="*/ 295275 w 562214"/>
            <a:gd name="csY4" fmla="*/ 2099551 h 3165498"/>
            <a:gd name="csX5" fmla="*/ 409575 w 562214"/>
            <a:gd name="csY5" fmla="*/ 2710120 h 3165498"/>
            <a:gd name="csX6" fmla="*/ 0 w 562214"/>
            <a:gd name="csY6" fmla="*/ 3162301 h 3165498"/>
            <a:gd name="csX7" fmla="*/ 0 w 562214"/>
            <a:gd name="csY7" fmla="*/ 0 h 3165498"/>
            <a:gd name="csX0" fmla="*/ 0 w 562214"/>
            <a:gd name="csY0" fmla="*/ 0 h 3165498"/>
            <a:gd name="csX1" fmla="*/ 400050 w 562214"/>
            <a:gd name="csY1" fmla="*/ 528381 h 3165498"/>
            <a:gd name="csX2" fmla="*/ 295275 w 562214"/>
            <a:gd name="csY2" fmla="*/ 1099939 h 3165498"/>
            <a:gd name="csX3" fmla="*/ 561974 w 562214"/>
            <a:gd name="csY3" fmla="*/ 1581149 h 3165498"/>
            <a:gd name="csX4" fmla="*/ 295275 w 562214"/>
            <a:gd name="csY4" fmla="*/ 2099551 h 3165498"/>
            <a:gd name="csX5" fmla="*/ 419100 w 562214"/>
            <a:gd name="csY5" fmla="*/ 2700595 h 3165498"/>
            <a:gd name="csX6" fmla="*/ 0 w 562214"/>
            <a:gd name="csY6" fmla="*/ 3162301 h 3165498"/>
            <a:gd name="csX0" fmla="*/ 0 w 563023"/>
            <a:gd name="csY0" fmla="*/ 0 h 3320264"/>
            <a:gd name="csX1" fmla="*/ 390525 w 563023"/>
            <a:gd name="csY1" fmla="*/ 556956 h 3320264"/>
            <a:gd name="csX2" fmla="*/ 295275 w 563023"/>
            <a:gd name="csY2" fmla="*/ 1099939 h 3320264"/>
            <a:gd name="csX3" fmla="*/ 562214 w 563023"/>
            <a:gd name="csY3" fmla="*/ 3165498 h 3320264"/>
            <a:gd name="csX4" fmla="*/ 295275 w 563023"/>
            <a:gd name="csY4" fmla="*/ 2099551 h 3320264"/>
            <a:gd name="csX5" fmla="*/ 409575 w 563023"/>
            <a:gd name="csY5" fmla="*/ 2710120 h 3320264"/>
            <a:gd name="csX6" fmla="*/ 0 w 563023"/>
            <a:gd name="csY6" fmla="*/ 3162301 h 3320264"/>
            <a:gd name="csX7" fmla="*/ 0 w 563023"/>
            <a:gd name="csY7" fmla="*/ 0 h 3320264"/>
            <a:gd name="csX0" fmla="*/ 0 w 563023"/>
            <a:gd name="csY0" fmla="*/ 0 h 3320264"/>
            <a:gd name="csX1" fmla="*/ 400050 w 563023"/>
            <a:gd name="csY1" fmla="*/ 528381 h 3320264"/>
            <a:gd name="csX2" fmla="*/ 295275 w 563023"/>
            <a:gd name="csY2" fmla="*/ 1099939 h 3320264"/>
            <a:gd name="csX3" fmla="*/ 561974 w 563023"/>
            <a:gd name="csY3" fmla="*/ 1581149 h 3320264"/>
            <a:gd name="csX4" fmla="*/ 295275 w 563023"/>
            <a:gd name="csY4" fmla="*/ 2099551 h 3320264"/>
            <a:gd name="csX5" fmla="*/ 419100 w 563023"/>
            <a:gd name="csY5" fmla="*/ 2700595 h 3320264"/>
            <a:gd name="csX6" fmla="*/ 0 w 563023"/>
            <a:gd name="csY6" fmla="*/ 3162301 h 3320264"/>
            <a:gd name="csX0" fmla="*/ 0 w 562783"/>
            <a:gd name="csY0" fmla="*/ 0 h 3165498"/>
            <a:gd name="csX1" fmla="*/ 390525 w 562783"/>
            <a:gd name="csY1" fmla="*/ 556956 h 3165498"/>
            <a:gd name="csX2" fmla="*/ 295275 w 562783"/>
            <a:gd name="csY2" fmla="*/ 1099939 h 3165498"/>
            <a:gd name="csX3" fmla="*/ 561973 w 562783"/>
            <a:gd name="csY3" fmla="*/ 1571624 h 3165498"/>
            <a:gd name="csX4" fmla="*/ 295275 w 562783"/>
            <a:gd name="csY4" fmla="*/ 2099551 h 3165498"/>
            <a:gd name="csX5" fmla="*/ 409575 w 562783"/>
            <a:gd name="csY5" fmla="*/ 2710120 h 3165498"/>
            <a:gd name="csX6" fmla="*/ 0 w 562783"/>
            <a:gd name="csY6" fmla="*/ 3162301 h 3165498"/>
            <a:gd name="csX7" fmla="*/ 0 w 562783"/>
            <a:gd name="csY7" fmla="*/ 0 h 3165498"/>
            <a:gd name="csX0" fmla="*/ 0 w 562783"/>
            <a:gd name="csY0" fmla="*/ 0 h 3165498"/>
            <a:gd name="csX1" fmla="*/ 400050 w 562783"/>
            <a:gd name="csY1" fmla="*/ 528381 h 3165498"/>
            <a:gd name="csX2" fmla="*/ 295275 w 562783"/>
            <a:gd name="csY2" fmla="*/ 1099939 h 3165498"/>
            <a:gd name="csX3" fmla="*/ 561974 w 562783"/>
            <a:gd name="csY3" fmla="*/ 1581149 h 3165498"/>
            <a:gd name="csX4" fmla="*/ 295275 w 562783"/>
            <a:gd name="csY4" fmla="*/ 2099551 h 3165498"/>
            <a:gd name="csX5" fmla="*/ 419100 w 562783"/>
            <a:gd name="csY5" fmla="*/ 2700595 h 3165498"/>
            <a:gd name="csX6" fmla="*/ 0 w 562783"/>
            <a:gd name="csY6" fmla="*/ 3162301 h 3165498"/>
            <a:gd name="csX0" fmla="*/ 0 w 563920"/>
            <a:gd name="csY0" fmla="*/ 0 h 3165498"/>
            <a:gd name="csX1" fmla="*/ 390525 w 563920"/>
            <a:gd name="csY1" fmla="*/ 556956 h 3165498"/>
            <a:gd name="csX2" fmla="*/ 295275 w 563920"/>
            <a:gd name="csY2" fmla="*/ 1099939 h 3165498"/>
            <a:gd name="csX3" fmla="*/ 561973 w 563920"/>
            <a:gd name="csY3" fmla="*/ 1571624 h 3165498"/>
            <a:gd name="csX4" fmla="*/ 295275 w 563920"/>
            <a:gd name="csY4" fmla="*/ 2099551 h 3165498"/>
            <a:gd name="csX5" fmla="*/ 409575 w 563920"/>
            <a:gd name="csY5" fmla="*/ 2710120 h 3165498"/>
            <a:gd name="csX6" fmla="*/ 0 w 563920"/>
            <a:gd name="csY6" fmla="*/ 3162301 h 3165498"/>
            <a:gd name="csX7" fmla="*/ 0 w 563920"/>
            <a:gd name="csY7" fmla="*/ 0 h 3165498"/>
            <a:gd name="csX0" fmla="*/ 0 w 563920"/>
            <a:gd name="csY0" fmla="*/ 0 h 3165498"/>
            <a:gd name="csX1" fmla="*/ 400050 w 563920"/>
            <a:gd name="csY1" fmla="*/ 528381 h 3165498"/>
            <a:gd name="csX2" fmla="*/ 295275 w 563920"/>
            <a:gd name="csY2" fmla="*/ 1099939 h 3165498"/>
            <a:gd name="csX3" fmla="*/ 561974 w 563920"/>
            <a:gd name="csY3" fmla="*/ 1581149 h 3165498"/>
            <a:gd name="csX4" fmla="*/ 295275 w 563920"/>
            <a:gd name="csY4" fmla="*/ 2099551 h 3165498"/>
            <a:gd name="csX5" fmla="*/ 419100 w 563920"/>
            <a:gd name="csY5" fmla="*/ 2700595 h 3165498"/>
            <a:gd name="csX6" fmla="*/ 0 w 563920"/>
            <a:gd name="csY6" fmla="*/ 3162301 h 3165498"/>
            <a:gd name="csX0" fmla="*/ 0 w 563920"/>
            <a:gd name="csY0" fmla="*/ 0 h 3165498"/>
            <a:gd name="csX1" fmla="*/ 404355 w 563920"/>
            <a:gd name="csY1" fmla="*/ 520000 h 3165498"/>
            <a:gd name="csX2" fmla="*/ 295275 w 563920"/>
            <a:gd name="csY2" fmla="*/ 1099939 h 3165498"/>
            <a:gd name="csX3" fmla="*/ 561973 w 563920"/>
            <a:gd name="csY3" fmla="*/ 1571624 h 3165498"/>
            <a:gd name="csX4" fmla="*/ 295275 w 563920"/>
            <a:gd name="csY4" fmla="*/ 2099551 h 3165498"/>
            <a:gd name="csX5" fmla="*/ 409575 w 563920"/>
            <a:gd name="csY5" fmla="*/ 2710120 h 3165498"/>
            <a:gd name="csX6" fmla="*/ 0 w 563920"/>
            <a:gd name="csY6" fmla="*/ 3162301 h 3165498"/>
            <a:gd name="csX7" fmla="*/ 0 w 563920"/>
            <a:gd name="csY7" fmla="*/ 0 h 3165498"/>
            <a:gd name="csX0" fmla="*/ 0 w 563920"/>
            <a:gd name="csY0" fmla="*/ 0 h 3165498"/>
            <a:gd name="csX1" fmla="*/ 400050 w 563920"/>
            <a:gd name="csY1" fmla="*/ 528381 h 3165498"/>
            <a:gd name="csX2" fmla="*/ 295275 w 563920"/>
            <a:gd name="csY2" fmla="*/ 1099939 h 3165498"/>
            <a:gd name="csX3" fmla="*/ 561974 w 563920"/>
            <a:gd name="csY3" fmla="*/ 1581149 h 3165498"/>
            <a:gd name="csX4" fmla="*/ 295275 w 563920"/>
            <a:gd name="csY4" fmla="*/ 2099551 h 3165498"/>
            <a:gd name="csX5" fmla="*/ 419100 w 563920"/>
            <a:gd name="csY5" fmla="*/ 2700595 h 3165498"/>
            <a:gd name="csX6" fmla="*/ 0 w 563920"/>
            <a:gd name="csY6" fmla="*/ 3162301 h 3165498"/>
            <a:gd name="csX0" fmla="*/ 0 w 563920"/>
            <a:gd name="csY0" fmla="*/ 0 h 3165498"/>
            <a:gd name="csX1" fmla="*/ 404355 w 563920"/>
            <a:gd name="csY1" fmla="*/ 520000 h 3165498"/>
            <a:gd name="csX2" fmla="*/ 295275 w 563920"/>
            <a:gd name="csY2" fmla="*/ 1099939 h 3165498"/>
            <a:gd name="csX3" fmla="*/ 561973 w 563920"/>
            <a:gd name="csY3" fmla="*/ 1571624 h 3165498"/>
            <a:gd name="csX4" fmla="*/ 295275 w 563920"/>
            <a:gd name="csY4" fmla="*/ 2099551 h 3165498"/>
            <a:gd name="csX5" fmla="*/ 409575 w 563920"/>
            <a:gd name="csY5" fmla="*/ 2710120 h 3165498"/>
            <a:gd name="csX6" fmla="*/ 0 w 563920"/>
            <a:gd name="csY6" fmla="*/ 3162301 h 3165498"/>
            <a:gd name="csX7" fmla="*/ 0 w 563920"/>
            <a:gd name="csY7" fmla="*/ 0 h 3165498"/>
            <a:gd name="csX0" fmla="*/ 0 w 563920"/>
            <a:gd name="csY0" fmla="*/ 0 h 3165498"/>
            <a:gd name="csX1" fmla="*/ 400050 w 563920"/>
            <a:gd name="csY1" fmla="*/ 528381 h 3165498"/>
            <a:gd name="csX2" fmla="*/ 295275 w 563920"/>
            <a:gd name="csY2" fmla="*/ 1099939 h 3165498"/>
            <a:gd name="csX3" fmla="*/ 561974 w 563920"/>
            <a:gd name="csY3" fmla="*/ 1614410 h 3165498"/>
            <a:gd name="csX4" fmla="*/ 295275 w 563920"/>
            <a:gd name="csY4" fmla="*/ 2099551 h 3165498"/>
            <a:gd name="csX5" fmla="*/ 419100 w 563920"/>
            <a:gd name="csY5" fmla="*/ 2700595 h 3165498"/>
            <a:gd name="csX6" fmla="*/ 0 w 563920"/>
            <a:gd name="csY6" fmla="*/ 3162301 h 3165498"/>
            <a:gd name="csX0" fmla="*/ 0 w 563920"/>
            <a:gd name="csY0" fmla="*/ 0 h 3165498"/>
            <a:gd name="csX1" fmla="*/ 404355 w 563920"/>
            <a:gd name="csY1" fmla="*/ 520000 h 3165498"/>
            <a:gd name="csX2" fmla="*/ 295275 w 563920"/>
            <a:gd name="csY2" fmla="*/ 1099939 h 3165498"/>
            <a:gd name="csX3" fmla="*/ 561973 w 563920"/>
            <a:gd name="csY3" fmla="*/ 1571624 h 3165498"/>
            <a:gd name="csX4" fmla="*/ 295275 w 563920"/>
            <a:gd name="csY4" fmla="*/ 2099551 h 3165498"/>
            <a:gd name="csX5" fmla="*/ 409575 w 563920"/>
            <a:gd name="csY5" fmla="*/ 2710120 h 3165498"/>
            <a:gd name="csX6" fmla="*/ 0 w 563920"/>
            <a:gd name="csY6" fmla="*/ 3162301 h 3165498"/>
            <a:gd name="csX7" fmla="*/ 0 w 563920"/>
            <a:gd name="csY7" fmla="*/ 0 h 3165498"/>
            <a:gd name="csX0" fmla="*/ 0 w 563920"/>
            <a:gd name="csY0" fmla="*/ 0 h 3165498"/>
            <a:gd name="csX1" fmla="*/ 400050 w 563920"/>
            <a:gd name="csY1" fmla="*/ 528381 h 3165498"/>
            <a:gd name="csX2" fmla="*/ 295275 w 563920"/>
            <a:gd name="csY2" fmla="*/ 1099939 h 3165498"/>
            <a:gd name="csX3" fmla="*/ 561974 w 563920"/>
            <a:gd name="csY3" fmla="*/ 1570062 h 3165498"/>
            <a:gd name="csX4" fmla="*/ 295275 w 563920"/>
            <a:gd name="csY4" fmla="*/ 2099551 h 3165498"/>
            <a:gd name="csX5" fmla="*/ 419100 w 563920"/>
            <a:gd name="csY5" fmla="*/ 2700595 h 3165498"/>
            <a:gd name="csX6" fmla="*/ 0 w 563920"/>
            <a:gd name="csY6" fmla="*/ 3162301 h 3165498"/>
            <a:gd name="csX0" fmla="*/ 0 w 563920"/>
            <a:gd name="csY0" fmla="*/ 0 h 3165498"/>
            <a:gd name="csX1" fmla="*/ 404355 w 563920"/>
            <a:gd name="csY1" fmla="*/ 520000 h 3165498"/>
            <a:gd name="csX2" fmla="*/ 295275 w 563920"/>
            <a:gd name="csY2" fmla="*/ 1099939 h 3165498"/>
            <a:gd name="csX3" fmla="*/ 561973 w 563920"/>
            <a:gd name="csY3" fmla="*/ 1571624 h 3165498"/>
            <a:gd name="csX4" fmla="*/ 295275 w 563920"/>
            <a:gd name="csY4" fmla="*/ 2099551 h 3165498"/>
            <a:gd name="csX5" fmla="*/ 409575 w 563920"/>
            <a:gd name="csY5" fmla="*/ 2710120 h 3165498"/>
            <a:gd name="csX6" fmla="*/ 0 w 563920"/>
            <a:gd name="csY6" fmla="*/ 3162301 h 3165498"/>
            <a:gd name="csX7" fmla="*/ 0 w 563920"/>
            <a:gd name="csY7" fmla="*/ 0 h 3165498"/>
            <a:gd name="csX0" fmla="*/ 0 w 563920"/>
            <a:gd name="csY0" fmla="*/ 0 h 3165498"/>
            <a:gd name="csX1" fmla="*/ 400050 w 563920"/>
            <a:gd name="csY1" fmla="*/ 528381 h 3165498"/>
            <a:gd name="csX2" fmla="*/ 295275 w 563920"/>
            <a:gd name="csY2" fmla="*/ 1099939 h 3165498"/>
            <a:gd name="csX3" fmla="*/ 527397 w 563920"/>
            <a:gd name="csY3" fmla="*/ 1581149 h 3165498"/>
            <a:gd name="csX4" fmla="*/ 295275 w 563920"/>
            <a:gd name="csY4" fmla="*/ 2099551 h 3165498"/>
            <a:gd name="csX5" fmla="*/ 419100 w 563920"/>
            <a:gd name="csY5" fmla="*/ 2700595 h 3165498"/>
            <a:gd name="csX6" fmla="*/ 0 w 563920"/>
            <a:gd name="csY6" fmla="*/ 3162301 h 3165498"/>
            <a:gd name="csX0" fmla="*/ 0 w 527671"/>
            <a:gd name="csY0" fmla="*/ 0 h 3165498"/>
            <a:gd name="csX1" fmla="*/ 404355 w 527671"/>
            <a:gd name="csY1" fmla="*/ 520000 h 3165498"/>
            <a:gd name="csX2" fmla="*/ 295275 w 527671"/>
            <a:gd name="csY2" fmla="*/ 1099939 h 3165498"/>
            <a:gd name="csX3" fmla="*/ 513564 w 527671"/>
            <a:gd name="csY3" fmla="*/ 1586407 h 3165498"/>
            <a:gd name="csX4" fmla="*/ 295275 w 527671"/>
            <a:gd name="csY4" fmla="*/ 2099551 h 3165498"/>
            <a:gd name="csX5" fmla="*/ 409575 w 527671"/>
            <a:gd name="csY5" fmla="*/ 2710120 h 3165498"/>
            <a:gd name="csX6" fmla="*/ 0 w 527671"/>
            <a:gd name="csY6" fmla="*/ 3162301 h 3165498"/>
            <a:gd name="csX7" fmla="*/ 0 w 527671"/>
            <a:gd name="csY7" fmla="*/ 0 h 3165498"/>
            <a:gd name="csX0" fmla="*/ 0 w 527671"/>
            <a:gd name="csY0" fmla="*/ 0 h 3165498"/>
            <a:gd name="csX1" fmla="*/ 400050 w 527671"/>
            <a:gd name="csY1" fmla="*/ 528381 h 3165498"/>
            <a:gd name="csX2" fmla="*/ 295275 w 527671"/>
            <a:gd name="csY2" fmla="*/ 1099939 h 3165498"/>
            <a:gd name="csX3" fmla="*/ 527397 w 527671"/>
            <a:gd name="csY3" fmla="*/ 1581149 h 3165498"/>
            <a:gd name="csX4" fmla="*/ 295275 w 527671"/>
            <a:gd name="csY4" fmla="*/ 2099551 h 3165498"/>
            <a:gd name="csX5" fmla="*/ 419100 w 527671"/>
            <a:gd name="csY5" fmla="*/ 2700595 h 3165498"/>
            <a:gd name="csX6" fmla="*/ 0 w 527671"/>
            <a:gd name="csY6" fmla="*/ 3162301 h 3165498"/>
            <a:gd name="csX0" fmla="*/ 0 w 527671"/>
            <a:gd name="csY0" fmla="*/ 0 h 3165498"/>
            <a:gd name="csX1" fmla="*/ 404355 w 527671"/>
            <a:gd name="csY1" fmla="*/ 520000 h 3165498"/>
            <a:gd name="csX2" fmla="*/ 295275 w 527671"/>
            <a:gd name="csY2" fmla="*/ 1099939 h 3165498"/>
            <a:gd name="csX3" fmla="*/ 513564 w 527671"/>
            <a:gd name="csY3" fmla="*/ 1586407 h 3165498"/>
            <a:gd name="csX4" fmla="*/ 295275 w 527671"/>
            <a:gd name="csY4" fmla="*/ 2099551 h 3165498"/>
            <a:gd name="csX5" fmla="*/ 409575 w 527671"/>
            <a:gd name="csY5" fmla="*/ 2710120 h 3165498"/>
            <a:gd name="csX6" fmla="*/ 0 w 527671"/>
            <a:gd name="csY6" fmla="*/ 3162301 h 3165498"/>
            <a:gd name="csX7" fmla="*/ 0 w 527671"/>
            <a:gd name="csY7" fmla="*/ 0 h 3165498"/>
            <a:gd name="csX0" fmla="*/ 0 w 527671"/>
            <a:gd name="csY0" fmla="*/ 0 h 3165498"/>
            <a:gd name="csX1" fmla="*/ 400050 w 527671"/>
            <a:gd name="csY1" fmla="*/ 528381 h 3165498"/>
            <a:gd name="csX2" fmla="*/ 295275 w 527671"/>
            <a:gd name="csY2" fmla="*/ 1099939 h 3165498"/>
            <a:gd name="csX3" fmla="*/ 527397 w 527671"/>
            <a:gd name="csY3" fmla="*/ 1581149 h 3165498"/>
            <a:gd name="csX4" fmla="*/ 295275 w 527671"/>
            <a:gd name="csY4" fmla="*/ 2099551 h 3165498"/>
            <a:gd name="csX5" fmla="*/ 419100 w 527671"/>
            <a:gd name="csY5" fmla="*/ 2700595 h 3165498"/>
            <a:gd name="csX6" fmla="*/ 0 w 527671"/>
            <a:gd name="csY6" fmla="*/ 3162301 h 3165498"/>
            <a:gd name="csX0" fmla="*/ 0 w 527671"/>
            <a:gd name="csY0" fmla="*/ 0 h 3165498"/>
            <a:gd name="csX1" fmla="*/ 404355 w 527671"/>
            <a:gd name="csY1" fmla="*/ 520000 h 3165498"/>
            <a:gd name="csX2" fmla="*/ 295275 w 527671"/>
            <a:gd name="csY2" fmla="*/ 1099939 h 3165498"/>
            <a:gd name="csX3" fmla="*/ 513564 w 527671"/>
            <a:gd name="csY3" fmla="*/ 1586407 h 3165498"/>
            <a:gd name="csX4" fmla="*/ 295275 w 527671"/>
            <a:gd name="csY4" fmla="*/ 2099551 h 3165498"/>
            <a:gd name="csX5" fmla="*/ 409575 w 527671"/>
            <a:gd name="csY5" fmla="*/ 2710120 h 3165498"/>
            <a:gd name="csX6" fmla="*/ 0 w 527671"/>
            <a:gd name="csY6" fmla="*/ 3162301 h 3165498"/>
            <a:gd name="csX7" fmla="*/ 0 w 527671"/>
            <a:gd name="csY7" fmla="*/ 0 h 3165498"/>
            <a:gd name="csX0" fmla="*/ 0 w 527671"/>
            <a:gd name="csY0" fmla="*/ 0 h 3165498"/>
            <a:gd name="csX1" fmla="*/ 400050 w 527671"/>
            <a:gd name="csY1" fmla="*/ 528381 h 3165498"/>
            <a:gd name="csX2" fmla="*/ 295275 w 527671"/>
            <a:gd name="csY2" fmla="*/ 1099939 h 3165498"/>
            <a:gd name="csX3" fmla="*/ 527397 w 527671"/>
            <a:gd name="csY3" fmla="*/ 1581149 h 3165498"/>
            <a:gd name="csX4" fmla="*/ 295275 w 527671"/>
            <a:gd name="csY4" fmla="*/ 2099551 h 3165498"/>
            <a:gd name="csX5" fmla="*/ 419100 w 527671"/>
            <a:gd name="csY5" fmla="*/ 2700595 h 3165498"/>
            <a:gd name="csX6" fmla="*/ 0 w 527671"/>
            <a:gd name="csY6" fmla="*/ 3162301 h 3165498"/>
            <a:gd name="csX0" fmla="*/ 0 w 527671"/>
            <a:gd name="csY0" fmla="*/ 0 h 3165498"/>
            <a:gd name="csX1" fmla="*/ 404355 w 527671"/>
            <a:gd name="csY1" fmla="*/ 520000 h 3165498"/>
            <a:gd name="csX2" fmla="*/ 295275 w 527671"/>
            <a:gd name="csY2" fmla="*/ 1099939 h 3165498"/>
            <a:gd name="csX3" fmla="*/ 513564 w 527671"/>
            <a:gd name="csY3" fmla="*/ 1586407 h 3165498"/>
            <a:gd name="csX4" fmla="*/ 295275 w 527671"/>
            <a:gd name="csY4" fmla="*/ 2099551 h 3165498"/>
            <a:gd name="csX5" fmla="*/ 409575 w 527671"/>
            <a:gd name="csY5" fmla="*/ 2710120 h 3165498"/>
            <a:gd name="csX6" fmla="*/ 0 w 527671"/>
            <a:gd name="csY6" fmla="*/ 3162301 h 3165498"/>
            <a:gd name="csX7" fmla="*/ 0 w 527671"/>
            <a:gd name="csY7" fmla="*/ 0 h 3165498"/>
            <a:gd name="csX0" fmla="*/ 0 w 527671"/>
            <a:gd name="csY0" fmla="*/ 0 h 3165498"/>
            <a:gd name="csX1" fmla="*/ 400050 w 527671"/>
            <a:gd name="csY1" fmla="*/ 528381 h 3165498"/>
            <a:gd name="csX2" fmla="*/ 295275 w 527671"/>
            <a:gd name="csY2" fmla="*/ 1099939 h 3165498"/>
            <a:gd name="csX3" fmla="*/ 527397 w 527671"/>
            <a:gd name="csY3" fmla="*/ 1581149 h 3165498"/>
            <a:gd name="csX4" fmla="*/ 295275 w 527671"/>
            <a:gd name="csY4" fmla="*/ 2099551 h 3165498"/>
            <a:gd name="csX5" fmla="*/ 419100 w 527671"/>
            <a:gd name="csY5" fmla="*/ 2700595 h 3165498"/>
            <a:gd name="csX6" fmla="*/ 0 w 527671"/>
            <a:gd name="csY6" fmla="*/ 3162301 h 3165498"/>
            <a:gd name="csX0" fmla="*/ 0 w 527671"/>
            <a:gd name="csY0" fmla="*/ 0 h 3162301"/>
            <a:gd name="csX1" fmla="*/ 404355 w 527671"/>
            <a:gd name="csY1" fmla="*/ 520000 h 3162301"/>
            <a:gd name="csX2" fmla="*/ 295275 w 527671"/>
            <a:gd name="csY2" fmla="*/ 1099939 h 3162301"/>
            <a:gd name="csX3" fmla="*/ 513564 w 527671"/>
            <a:gd name="csY3" fmla="*/ 1586407 h 3162301"/>
            <a:gd name="csX4" fmla="*/ 295275 w 527671"/>
            <a:gd name="csY4" fmla="*/ 2099551 h 3162301"/>
            <a:gd name="csX5" fmla="*/ 409575 w 527671"/>
            <a:gd name="csY5" fmla="*/ 2710120 h 3162301"/>
            <a:gd name="csX6" fmla="*/ 0 w 527671"/>
            <a:gd name="csY6" fmla="*/ 3162301 h 3162301"/>
            <a:gd name="csX7" fmla="*/ 0 w 527671"/>
            <a:gd name="csY7" fmla="*/ 0 h 3162301"/>
            <a:gd name="csX0" fmla="*/ 0 w 527671"/>
            <a:gd name="csY0" fmla="*/ 0 h 3162301"/>
            <a:gd name="csX1" fmla="*/ 400050 w 527671"/>
            <a:gd name="csY1" fmla="*/ 528381 h 3162301"/>
            <a:gd name="csX2" fmla="*/ 295275 w 527671"/>
            <a:gd name="csY2" fmla="*/ 1099939 h 3162301"/>
            <a:gd name="csX3" fmla="*/ 527397 w 527671"/>
            <a:gd name="csY3" fmla="*/ 1581149 h 3162301"/>
            <a:gd name="csX4" fmla="*/ 295275 w 527671"/>
            <a:gd name="csY4" fmla="*/ 2099551 h 3162301"/>
            <a:gd name="csX5" fmla="*/ 419100 w 527671"/>
            <a:gd name="csY5" fmla="*/ 2700595 h 3162301"/>
            <a:gd name="csX6" fmla="*/ 0 w 527671"/>
            <a:gd name="csY6" fmla="*/ 3162301 h 3162301"/>
            <a:gd name="csX0" fmla="*/ 0 w 527480"/>
            <a:gd name="csY0" fmla="*/ 0 h 3162301"/>
            <a:gd name="csX1" fmla="*/ 404355 w 527480"/>
            <a:gd name="csY1" fmla="*/ 520000 h 3162301"/>
            <a:gd name="csX2" fmla="*/ 295275 w 527480"/>
            <a:gd name="csY2" fmla="*/ 1099939 h 3162301"/>
            <a:gd name="csX3" fmla="*/ 513564 w 527480"/>
            <a:gd name="csY3" fmla="*/ 1586407 h 3162301"/>
            <a:gd name="csX4" fmla="*/ 295275 w 527480"/>
            <a:gd name="csY4" fmla="*/ 2099551 h 3162301"/>
            <a:gd name="csX5" fmla="*/ 409575 w 527480"/>
            <a:gd name="csY5" fmla="*/ 2710120 h 3162301"/>
            <a:gd name="csX6" fmla="*/ 0 w 527480"/>
            <a:gd name="csY6" fmla="*/ 3162301 h 3162301"/>
            <a:gd name="csX7" fmla="*/ 0 w 527480"/>
            <a:gd name="csY7" fmla="*/ 0 h 3162301"/>
            <a:gd name="csX0" fmla="*/ 0 w 527480"/>
            <a:gd name="csY0" fmla="*/ 0 h 3162301"/>
            <a:gd name="csX1" fmla="*/ 400050 w 527480"/>
            <a:gd name="csY1" fmla="*/ 528381 h 3162301"/>
            <a:gd name="csX2" fmla="*/ 322938 w 527480"/>
            <a:gd name="csY2" fmla="*/ 1144287 h 3162301"/>
            <a:gd name="csX3" fmla="*/ 527397 w 527480"/>
            <a:gd name="csY3" fmla="*/ 1581149 h 3162301"/>
            <a:gd name="csX4" fmla="*/ 295275 w 527480"/>
            <a:gd name="csY4" fmla="*/ 2099551 h 3162301"/>
            <a:gd name="csX5" fmla="*/ 419100 w 527480"/>
            <a:gd name="csY5" fmla="*/ 2700595 h 3162301"/>
            <a:gd name="csX6" fmla="*/ 0 w 527480"/>
            <a:gd name="csY6" fmla="*/ 3162301 h 3162301"/>
            <a:gd name="csX0" fmla="*/ 0 w 527480"/>
            <a:gd name="csY0" fmla="*/ 0 h 3162301"/>
            <a:gd name="csX1" fmla="*/ 404355 w 527480"/>
            <a:gd name="csY1" fmla="*/ 520000 h 3162301"/>
            <a:gd name="csX2" fmla="*/ 295275 w 527480"/>
            <a:gd name="csY2" fmla="*/ 1099939 h 3162301"/>
            <a:gd name="csX3" fmla="*/ 513564 w 527480"/>
            <a:gd name="csY3" fmla="*/ 1586407 h 3162301"/>
            <a:gd name="csX4" fmla="*/ 295275 w 527480"/>
            <a:gd name="csY4" fmla="*/ 2099551 h 3162301"/>
            <a:gd name="csX5" fmla="*/ 409575 w 527480"/>
            <a:gd name="csY5" fmla="*/ 2710120 h 3162301"/>
            <a:gd name="csX6" fmla="*/ 0 w 527480"/>
            <a:gd name="csY6" fmla="*/ 3162301 h 3162301"/>
            <a:gd name="csX7" fmla="*/ 0 w 527480"/>
            <a:gd name="csY7" fmla="*/ 0 h 3162301"/>
            <a:gd name="csX0" fmla="*/ 0 w 527480"/>
            <a:gd name="csY0" fmla="*/ 0 h 3162301"/>
            <a:gd name="csX1" fmla="*/ 400050 w 527480"/>
            <a:gd name="csY1" fmla="*/ 528381 h 3162301"/>
            <a:gd name="csX2" fmla="*/ 322938 w 527480"/>
            <a:gd name="csY2" fmla="*/ 1144287 h 3162301"/>
            <a:gd name="csX3" fmla="*/ 527397 w 527480"/>
            <a:gd name="csY3" fmla="*/ 1581149 h 3162301"/>
            <a:gd name="csX4" fmla="*/ 295275 w 527480"/>
            <a:gd name="csY4" fmla="*/ 2099551 h 3162301"/>
            <a:gd name="csX5" fmla="*/ 419100 w 527480"/>
            <a:gd name="csY5" fmla="*/ 2700595 h 3162301"/>
            <a:gd name="csX6" fmla="*/ 0 w 527480"/>
            <a:gd name="csY6" fmla="*/ 3162301 h 3162301"/>
            <a:gd name="csX0" fmla="*/ 0 w 527480"/>
            <a:gd name="csY0" fmla="*/ 0 h 3162301"/>
            <a:gd name="csX1" fmla="*/ 404355 w 527480"/>
            <a:gd name="csY1" fmla="*/ 520000 h 3162301"/>
            <a:gd name="csX2" fmla="*/ 295275 w 527480"/>
            <a:gd name="csY2" fmla="*/ 1099939 h 3162301"/>
            <a:gd name="csX3" fmla="*/ 513564 w 527480"/>
            <a:gd name="csY3" fmla="*/ 1586407 h 3162301"/>
            <a:gd name="csX4" fmla="*/ 295275 w 527480"/>
            <a:gd name="csY4" fmla="*/ 2099551 h 3162301"/>
            <a:gd name="csX5" fmla="*/ 409575 w 527480"/>
            <a:gd name="csY5" fmla="*/ 2710120 h 3162301"/>
            <a:gd name="csX6" fmla="*/ 0 w 527480"/>
            <a:gd name="csY6" fmla="*/ 3162301 h 3162301"/>
            <a:gd name="csX7" fmla="*/ 0 w 527480"/>
            <a:gd name="csY7" fmla="*/ 0 h 3162301"/>
            <a:gd name="csX0" fmla="*/ 0 w 527480"/>
            <a:gd name="csY0" fmla="*/ 0 h 3162301"/>
            <a:gd name="csX1" fmla="*/ 400050 w 527480"/>
            <a:gd name="csY1" fmla="*/ 528381 h 3162301"/>
            <a:gd name="csX2" fmla="*/ 322938 w 527480"/>
            <a:gd name="csY2" fmla="*/ 1144287 h 3162301"/>
            <a:gd name="csX3" fmla="*/ 527397 w 527480"/>
            <a:gd name="csY3" fmla="*/ 1581149 h 3162301"/>
            <a:gd name="csX4" fmla="*/ 295275 w 527480"/>
            <a:gd name="csY4" fmla="*/ 2099551 h 3162301"/>
            <a:gd name="csX5" fmla="*/ 419100 w 527480"/>
            <a:gd name="csY5" fmla="*/ 2700595 h 3162301"/>
            <a:gd name="csX6" fmla="*/ 0 w 527480"/>
            <a:gd name="csY6" fmla="*/ 3162301 h 316230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527480" h="3162301" stroke="0" extrusionOk="0">
              <a:moveTo>
                <a:pt x="0" y="0"/>
              </a:moveTo>
              <a:cubicBezTo>
                <a:pt x="163076" y="0"/>
                <a:pt x="404355" y="234440"/>
                <a:pt x="404355" y="520000"/>
              </a:cubicBezTo>
              <a:cubicBezTo>
                <a:pt x="410705" y="862919"/>
                <a:pt x="365125" y="918945"/>
                <a:pt x="295275" y="1099939"/>
              </a:cubicBezTo>
              <a:cubicBezTo>
                <a:pt x="364429" y="1361193"/>
                <a:pt x="528309" y="1330529"/>
                <a:pt x="513564" y="1586407"/>
              </a:cubicBezTo>
              <a:cubicBezTo>
                <a:pt x="498819" y="1842285"/>
                <a:pt x="295275" y="1823516"/>
                <a:pt x="295275" y="2099551"/>
              </a:cubicBezTo>
              <a:cubicBezTo>
                <a:pt x="367951" y="2295684"/>
                <a:pt x="447675" y="2468497"/>
                <a:pt x="409575" y="2710120"/>
              </a:cubicBezTo>
              <a:cubicBezTo>
                <a:pt x="438150" y="3052983"/>
                <a:pt x="163076" y="3162301"/>
                <a:pt x="0" y="3162301"/>
              </a:cubicBezTo>
              <a:lnTo>
                <a:pt x="0" y="0"/>
              </a:lnTo>
              <a:close/>
            </a:path>
            <a:path w="527480" h="3162301" fill="none">
              <a:moveTo>
                <a:pt x="0" y="0"/>
              </a:moveTo>
              <a:cubicBezTo>
                <a:pt x="163076" y="0"/>
                <a:pt x="400050" y="157096"/>
                <a:pt x="400050" y="528381"/>
              </a:cubicBezTo>
              <a:cubicBezTo>
                <a:pt x="390525" y="1014175"/>
                <a:pt x="301714" y="968826"/>
                <a:pt x="322938" y="1144287"/>
              </a:cubicBezTo>
              <a:cubicBezTo>
                <a:pt x="344163" y="1319748"/>
                <a:pt x="532008" y="1421938"/>
                <a:pt x="527397" y="1581149"/>
              </a:cubicBezTo>
              <a:cubicBezTo>
                <a:pt x="522786" y="1740360"/>
                <a:pt x="295275" y="1823516"/>
                <a:pt x="295275" y="2099551"/>
              </a:cubicBezTo>
              <a:cubicBezTo>
                <a:pt x="390525" y="2280849"/>
                <a:pt x="419100" y="2462147"/>
                <a:pt x="419100" y="2700595"/>
              </a:cubicBezTo>
              <a:cubicBezTo>
                <a:pt x="391438" y="3115545"/>
                <a:pt x="163076" y="3162301"/>
                <a:pt x="0" y="3162301"/>
              </a:cubicBezTo>
            </a:path>
          </a:pathLst>
        </a:custGeom>
        <a:solidFill>
          <a:schemeClr val="tx2">
            <a:lumMod val="60000"/>
            <a:lumOff val="40000"/>
          </a:schemeClr>
        </a:solidFill>
        <a:ln w="19050">
          <a:solidFill>
            <a:sysClr val="windowText" lastClr="000000"/>
          </a:solidFill>
        </a:ln>
        <a:effectLst/>
        <a:scene3d>
          <a:camera prst="orthographicFront"/>
          <a:lightRig rig="threePt" dir="t"/>
        </a:scene3d>
        <a:sp3d>
          <a:bevelT w="165100" prst="coolSlant"/>
        </a:sp3d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25</xdr:col>
      <xdr:colOff>95248</xdr:colOff>
      <xdr:row>2</xdr:row>
      <xdr:rowOff>109849</xdr:rowOff>
    </xdr:from>
    <xdr:to>
      <xdr:col>26</xdr:col>
      <xdr:colOff>798206</xdr:colOff>
      <xdr:row>4</xdr:row>
      <xdr:rowOff>366740</xdr:rowOff>
    </xdr:to>
    <xdr:grpSp>
      <xdr:nvGrpSpPr>
        <xdr:cNvPr id="58" name="Group 57">
          <a:extLst>
            <a:ext uri="{FF2B5EF4-FFF2-40B4-BE49-F238E27FC236}">
              <a16:creationId xmlns:a16="http://schemas.microsoft.com/office/drawing/2014/main" id="{C8553EA0-7CE8-4285-AA82-BD9E88682D92}"/>
            </a:ext>
          </a:extLst>
        </xdr:cNvPr>
        <xdr:cNvGrpSpPr/>
      </xdr:nvGrpSpPr>
      <xdr:grpSpPr>
        <a:xfrm>
          <a:off x="21258066" y="421576"/>
          <a:ext cx="1083958" cy="1070846"/>
          <a:chOff x="7552765" y="1580029"/>
          <a:chExt cx="720000" cy="720000"/>
        </a:xfrm>
        <a:effectLst>
          <a:outerShdw blurRad="50800" dist="38100" dir="2700000" algn="tl" rotWithShape="0">
            <a:prstClr val="black">
              <a:alpha val="40000"/>
            </a:prstClr>
          </a:outerShdw>
        </a:effectLst>
      </xdr:grpSpPr>
      <xdr:sp macro="" textlink="">
        <xdr:nvSpPr>
          <xdr:cNvPr id="59" name="Oval 58">
            <a:extLst>
              <a:ext uri="{FF2B5EF4-FFF2-40B4-BE49-F238E27FC236}">
                <a16:creationId xmlns:a16="http://schemas.microsoft.com/office/drawing/2014/main" id="{D6B3BBF2-EFCE-3048-12FB-AA89B9489992}"/>
              </a:ext>
            </a:extLst>
          </xdr:cNvPr>
          <xdr:cNvSpPr/>
        </xdr:nvSpPr>
        <xdr:spPr>
          <a:xfrm>
            <a:off x="7552765" y="1580029"/>
            <a:ext cx="720000" cy="720000"/>
          </a:xfrm>
          <a:prstGeom prst="ellipse">
            <a:avLst/>
          </a:prstGeom>
          <a:solidFill>
            <a:schemeClr val="tx2">
              <a:lumMod val="40000"/>
              <a:lumOff val="60000"/>
            </a:schemeClr>
          </a:solidFill>
          <a:ln w="12700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CA" sz="1100"/>
          </a:p>
        </xdr:txBody>
      </xdr:sp>
      <xdr:grpSp>
        <xdr:nvGrpSpPr>
          <xdr:cNvPr id="60" name="Group 59">
            <a:extLst>
              <a:ext uri="{FF2B5EF4-FFF2-40B4-BE49-F238E27FC236}">
                <a16:creationId xmlns:a16="http://schemas.microsoft.com/office/drawing/2014/main" id="{0894E52E-7D96-7E39-C8B1-EF3C3CE191F1}"/>
              </a:ext>
            </a:extLst>
          </xdr:cNvPr>
          <xdr:cNvGrpSpPr/>
        </xdr:nvGrpSpPr>
        <xdr:grpSpPr>
          <a:xfrm>
            <a:off x="7717502" y="1692379"/>
            <a:ext cx="390526" cy="495301"/>
            <a:chOff x="7172324" y="1571624"/>
            <a:chExt cx="638175" cy="885825"/>
          </a:xfrm>
          <a:solidFill>
            <a:schemeClr val="accent1"/>
          </a:solidFill>
          <a:effectLst>
            <a:outerShdw blurRad="50800" dist="38100" dir="10800000" algn="r" rotWithShape="0">
              <a:prstClr val="black">
                <a:alpha val="40000"/>
              </a:prstClr>
            </a:outerShdw>
          </a:effectLst>
        </xdr:grpSpPr>
        <xdr:sp macro="" textlink="">
          <xdr:nvSpPr>
            <xdr:cNvPr id="61" name="Rectangle: Rounded Corners 60">
              <a:extLst>
                <a:ext uri="{FF2B5EF4-FFF2-40B4-BE49-F238E27FC236}">
                  <a16:creationId xmlns:a16="http://schemas.microsoft.com/office/drawing/2014/main" id="{722B909E-BAA4-1BAE-852C-E84096941454}"/>
                </a:ext>
              </a:extLst>
            </xdr:cNvPr>
            <xdr:cNvSpPr/>
          </xdr:nvSpPr>
          <xdr:spPr>
            <a:xfrm rot="21137558">
              <a:off x="7172324" y="1571624"/>
              <a:ext cx="495300" cy="790575"/>
            </a:xfrm>
            <a:prstGeom prst="roundRect">
              <a:avLst/>
            </a:prstGeom>
            <a:grpFill/>
            <a:ln>
              <a:solidFill>
                <a:sysClr val="windowText" lastClr="000000"/>
              </a:solidFill>
            </a:ln>
          </xdr:spPr>
          <xdr:style>
            <a:lnRef idx="2">
              <a:schemeClr val="dk1">
                <a:shade val="15000"/>
              </a:schemeClr>
            </a:lnRef>
            <a:fillRef idx="1">
              <a:schemeClr val="dk1"/>
            </a:fillRef>
            <a:effectRef idx="0">
              <a:schemeClr val="dk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CA" sz="1100"/>
            </a:p>
          </xdr:txBody>
        </xdr:sp>
        <xdr:sp macro="" textlink="">
          <xdr:nvSpPr>
            <xdr:cNvPr id="62" name="Rectangle: Rounded Corners 61">
              <a:extLst>
                <a:ext uri="{FF2B5EF4-FFF2-40B4-BE49-F238E27FC236}">
                  <a16:creationId xmlns:a16="http://schemas.microsoft.com/office/drawing/2014/main" id="{2C2BE48E-22FA-6F8D-FB84-82D94D08E4C9}"/>
                </a:ext>
              </a:extLst>
            </xdr:cNvPr>
            <xdr:cNvSpPr/>
          </xdr:nvSpPr>
          <xdr:spPr>
            <a:xfrm>
              <a:off x="7238999" y="1600199"/>
              <a:ext cx="495300" cy="790575"/>
            </a:xfrm>
            <a:prstGeom prst="roundRect">
              <a:avLst/>
            </a:prstGeom>
            <a:grpFill/>
            <a:ln>
              <a:solidFill>
                <a:sysClr val="windowText" lastClr="000000"/>
              </a:solidFill>
            </a:ln>
          </xdr:spPr>
          <xdr:style>
            <a:lnRef idx="2">
              <a:schemeClr val="dk1">
                <a:shade val="15000"/>
              </a:schemeClr>
            </a:lnRef>
            <a:fillRef idx="1">
              <a:schemeClr val="dk1"/>
            </a:fillRef>
            <a:effectRef idx="0">
              <a:schemeClr val="dk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CA" sz="1100"/>
            </a:p>
          </xdr:txBody>
        </xdr:sp>
        <xdr:sp macro="" textlink="">
          <xdr:nvSpPr>
            <xdr:cNvPr id="63" name="Rectangle: Rounded Corners 62">
              <a:extLst>
                <a:ext uri="{FF2B5EF4-FFF2-40B4-BE49-F238E27FC236}">
                  <a16:creationId xmlns:a16="http://schemas.microsoft.com/office/drawing/2014/main" id="{19121634-1634-B621-B87D-C2BEEADB1288}"/>
                </a:ext>
              </a:extLst>
            </xdr:cNvPr>
            <xdr:cNvSpPr/>
          </xdr:nvSpPr>
          <xdr:spPr>
            <a:xfrm rot="770312">
              <a:off x="7315199" y="1666874"/>
              <a:ext cx="495300" cy="790575"/>
            </a:xfrm>
            <a:prstGeom prst="roundRect">
              <a:avLst/>
            </a:prstGeom>
            <a:grpFill/>
            <a:ln>
              <a:solidFill>
                <a:sysClr val="windowText" lastClr="000000"/>
              </a:solidFill>
            </a:ln>
          </xdr:spPr>
          <xdr:style>
            <a:lnRef idx="2">
              <a:schemeClr val="dk1">
                <a:shade val="15000"/>
              </a:schemeClr>
            </a:lnRef>
            <a:fillRef idx="1">
              <a:schemeClr val="dk1"/>
            </a:fillRef>
            <a:effectRef idx="0">
              <a:schemeClr val="dk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CA" sz="1100"/>
            </a:p>
          </xdr:txBody>
        </xdr:sp>
      </xdr:grpSp>
    </xdr:grpSp>
    <xdr:clientData/>
  </xdr:twoCellAnchor>
  <xdr:twoCellAnchor>
    <xdr:from>
      <xdr:col>28</xdr:col>
      <xdr:colOff>179554</xdr:colOff>
      <xdr:row>2</xdr:row>
      <xdr:rowOff>109849</xdr:rowOff>
    </xdr:from>
    <xdr:to>
      <xdr:col>31</xdr:col>
      <xdr:colOff>357407</xdr:colOff>
      <xdr:row>4</xdr:row>
      <xdr:rowOff>409978</xdr:rowOff>
    </xdr:to>
    <xdr:grpSp>
      <xdr:nvGrpSpPr>
        <xdr:cNvPr id="64" name="Group 63">
          <a:extLst>
            <a:ext uri="{FF2B5EF4-FFF2-40B4-BE49-F238E27FC236}">
              <a16:creationId xmlns:a16="http://schemas.microsoft.com/office/drawing/2014/main" id="{9BABE6E6-4755-4360-BE78-93E33A287767}"/>
            </a:ext>
          </a:extLst>
        </xdr:cNvPr>
        <xdr:cNvGrpSpPr/>
      </xdr:nvGrpSpPr>
      <xdr:grpSpPr>
        <a:xfrm>
          <a:off x="25758509" y="421576"/>
          <a:ext cx="1528671" cy="1114084"/>
          <a:chOff x="7021203" y="1580029"/>
          <a:chExt cx="438150" cy="330299"/>
        </a:xfrm>
      </xdr:grpSpPr>
      <xdr:sp macro="" textlink="">
        <xdr:nvSpPr>
          <xdr:cNvPr id="65" name="Flowchart: Alternate Process 64">
            <a:extLst>
              <a:ext uri="{FF2B5EF4-FFF2-40B4-BE49-F238E27FC236}">
                <a16:creationId xmlns:a16="http://schemas.microsoft.com/office/drawing/2014/main" id="{FC3930BE-AB9A-F77B-8F58-C90A94206245}"/>
              </a:ext>
            </a:extLst>
          </xdr:cNvPr>
          <xdr:cNvSpPr/>
        </xdr:nvSpPr>
        <xdr:spPr>
          <a:xfrm rot="797779">
            <a:off x="7051104" y="1580029"/>
            <a:ext cx="231236" cy="330299"/>
          </a:xfrm>
          <a:prstGeom prst="flowChartAlternateProcess">
            <a:avLst/>
          </a:prstGeom>
          <a:solidFill>
            <a:schemeClr val="tx2">
              <a:lumMod val="40000"/>
              <a:lumOff val="60000"/>
            </a:schemeClr>
          </a:solidFill>
          <a:ln>
            <a:solidFill>
              <a:schemeClr val="tx1"/>
            </a:solidFill>
          </a:ln>
          <a:effectLst>
            <a:outerShdw blurRad="50800" dist="38100" dir="8100000" algn="tr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CA" sz="1100"/>
          </a:p>
        </xdr:txBody>
      </xdr:sp>
      <mc:AlternateContent xmlns:mc="http://schemas.openxmlformats.org/markup-compatibility/2006" xmlns:a14="http://schemas.microsoft.com/office/drawing/2010/main">
        <mc:Choice Requires="a14">
          <xdr:sp macro="" textlink="">
            <xdr:nvSpPr>
              <xdr:cNvPr id="66" name="TextBox 65">
                <a:extLst>
                  <a:ext uri="{FF2B5EF4-FFF2-40B4-BE49-F238E27FC236}">
                    <a16:creationId xmlns:a16="http://schemas.microsoft.com/office/drawing/2014/main" id="{111CA310-A560-994E-AE52-3B54745C528F}"/>
                  </a:ext>
                </a:extLst>
              </xdr:cNvPr>
              <xdr:cNvSpPr txBox="1"/>
            </xdr:nvSpPr>
            <xdr:spPr>
              <a:xfrm>
                <a:off x="7021203" y="1614431"/>
                <a:ext cx="438150" cy="26670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14:m>
                  <m:oMath xmlns:m="http://schemas.openxmlformats.org/officeDocument/2006/math">
                    <m:r>
                      <a:rPr lang="en-US" sz="4400" b="1" i="1">
                        <a:effectLst>
                          <a:glow rad="228600">
                            <a:schemeClr val="accent1">
                              <a:satMod val="175000"/>
                              <a:alpha val="40000"/>
                            </a:schemeClr>
                          </a:glow>
                        </a:effectLst>
                        <a:latin typeface="Cambria Math" panose="02040503050406030204" pitchFamily="18" charset="0"/>
                      </a:rPr>
                      <m:t>+</m:t>
                    </m:r>
                  </m:oMath>
                </a14:m>
                <a:r>
                  <a:rPr lang="en-CA" sz="4400" b="1">
                    <a:effectLst>
                      <a:glow rad="228600">
                        <a:schemeClr val="accent1">
                          <a:satMod val="175000"/>
                          <a:alpha val="40000"/>
                        </a:schemeClr>
                      </a:glow>
                    </a:effectLst>
                    <a:latin typeface="Sylfaen" panose="010A0502050306030303" pitchFamily="18" charset="0"/>
                  </a:rPr>
                  <a:t>2</a:t>
                </a:r>
              </a:p>
            </xdr:txBody>
          </xdr:sp>
        </mc:Choice>
        <mc:Fallback xmlns="">
          <xdr:sp macro="" textlink="">
            <xdr:nvSpPr>
              <xdr:cNvPr id="66" name="TextBox 65">
                <a:extLst>
                  <a:ext uri="{FF2B5EF4-FFF2-40B4-BE49-F238E27FC236}">
                    <a16:creationId xmlns:a16="http://schemas.microsoft.com/office/drawing/2014/main" id="{111CA310-A560-994E-AE52-3B54745C528F}"/>
                  </a:ext>
                </a:extLst>
              </xdr:cNvPr>
              <xdr:cNvSpPr txBox="1"/>
            </xdr:nvSpPr>
            <xdr:spPr>
              <a:xfrm>
                <a:off x="7021203" y="1614431"/>
                <a:ext cx="438150" cy="26670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r>
                  <a:rPr lang="en-US" sz="4400" b="1" i="0">
                    <a:effectLst>
                      <a:glow rad="228600">
                        <a:schemeClr val="accent1">
                          <a:satMod val="175000"/>
                          <a:alpha val="40000"/>
                        </a:schemeClr>
                      </a:glow>
                    </a:effectLst>
                    <a:latin typeface="Cambria Math" panose="02040503050406030204" pitchFamily="18" charset="0"/>
                  </a:rPr>
                  <a:t>+</a:t>
                </a:r>
                <a:r>
                  <a:rPr lang="en-CA" sz="4400" b="1">
                    <a:effectLst>
                      <a:glow rad="228600">
                        <a:schemeClr val="accent1">
                          <a:satMod val="175000"/>
                          <a:alpha val="40000"/>
                        </a:schemeClr>
                      </a:glow>
                    </a:effectLst>
                    <a:latin typeface="Sylfaen" panose="010A0502050306030303" pitchFamily="18" charset="0"/>
                  </a:rPr>
                  <a:t>2</a:t>
                </a:r>
              </a:p>
            </xdr:txBody>
          </xdr:sp>
        </mc:Fallback>
      </mc:AlternateContent>
    </xdr:grpSp>
    <xdr:clientData/>
  </xdr:twoCellAnchor>
  <xdr:twoCellAnchor>
    <xdr:from>
      <xdr:col>10</xdr:col>
      <xdr:colOff>297195</xdr:colOff>
      <xdr:row>4</xdr:row>
      <xdr:rowOff>540324</xdr:rowOff>
    </xdr:from>
    <xdr:to>
      <xdr:col>14</xdr:col>
      <xdr:colOff>91455</xdr:colOff>
      <xdr:row>6</xdr:row>
      <xdr:rowOff>100269</xdr:rowOff>
    </xdr:to>
    <xdr:sp macro="" textlink="">
      <xdr:nvSpPr>
        <xdr:cNvPr id="68" name="Frame 67">
          <a:extLst>
            <a:ext uri="{FF2B5EF4-FFF2-40B4-BE49-F238E27FC236}">
              <a16:creationId xmlns:a16="http://schemas.microsoft.com/office/drawing/2014/main" id="{9DDAA04A-C2BC-46EB-88BC-8BC9FC58AEDA}"/>
            </a:ext>
          </a:extLst>
        </xdr:cNvPr>
        <xdr:cNvSpPr/>
      </xdr:nvSpPr>
      <xdr:spPr>
        <a:xfrm>
          <a:off x="8443668" y="1607124"/>
          <a:ext cx="5197532" cy="3854854"/>
        </a:xfrm>
        <a:prstGeom prst="frame">
          <a:avLst>
            <a:gd name="adj1" fmla="val 2500"/>
          </a:avLst>
        </a:prstGeom>
        <a:solidFill>
          <a:schemeClr val="tx2">
            <a:lumMod val="60000"/>
            <a:lumOff val="40000"/>
          </a:schemeClr>
        </a:solidFill>
        <a:ln>
          <a:solidFill>
            <a:schemeClr val="tx1"/>
          </a:solidFill>
        </a:ln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17</xdr:col>
      <xdr:colOff>0</xdr:colOff>
      <xdr:row>2</xdr:row>
      <xdr:rowOff>0</xdr:rowOff>
    </xdr:from>
    <xdr:to>
      <xdr:col>22</xdr:col>
      <xdr:colOff>27710</xdr:colOff>
      <xdr:row>8</xdr:row>
      <xdr:rowOff>3001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26394C9-BCE5-FC1E-BDE5-3A7FFD3821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159345" y="304800"/>
          <a:ext cx="5818910" cy="7858528"/>
        </a:xfrm>
        <a:prstGeom prst="rect">
          <a:avLst/>
        </a:prstGeom>
      </xdr:spPr>
    </xdr:pic>
    <xdr:clientData/>
  </xdr:twoCellAnchor>
  <xdr:twoCellAnchor>
    <xdr:from>
      <xdr:col>10</xdr:col>
      <xdr:colOff>138546</xdr:colOff>
      <xdr:row>2</xdr:row>
      <xdr:rowOff>69273</xdr:rowOff>
    </xdr:from>
    <xdr:to>
      <xdr:col>11</xdr:col>
      <xdr:colOff>837546</xdr:colOff>
      <xdr:row>4</xdr:row>
      <xdr:rowOff>335318</xdr:rowOff>
    </xdr:to>
    <xdr:sp macro="" textlink="">
      <xdr:nvSpPr>
        <xdr:cNvPr id="2" name="Oval 1">
          <a:extLst>
            <a:ext uri="{FF2B5EF4-FFF2-40B4-BE49-F238E27FC236}">
              <a16:creationId xmlns:a16="http://schemas.microsoft.com/office/drawing/2014/main" id="{7BA8E094-C52D-47B7-96D4-54C50C0E6678}"/>
            </a:ext>
          </a:extLst>
        </xdr:cNvPr>
        <xdr:cNvSpPr/>
      </xdr:nvSpPr>
      <xdr:spPr>
        <a:xfrm>
          <a:off x="8139546" y="381000"/>
          <a:ext cx="1080000" cy="1080000"/>
        </a:xfrm>
        <a:prstGeom prst="ellipse">
          <a:avLst/>
        </a:prstGeom>
        <a:solidFill>
          <a:schemeClr val="tx2">
            <a:lumMod val="60000"/>
            <a:lumOff val="40000"/>
          </a:schemeClr>
        </a:solidFill>
        <a:ln>
          <a:solidFill>
            <a:sysClr val="windowText" lastClr="000000"/>
          </a:solidFill>
        </a:ln>
        <a:scene3d>
          <a:camera prst="orthographicFront"/>
          <a:lightRig rig="threePt" dir="t"/>
        </a:scene3d>
        <a:sp3d>
          <a:bevelT w="165100" prst="coolSlant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4</v>
  </rv>
  <rv s="0">
    <v>1</v>
    <v>5</v>
  </rv>
  <rv s="0">
    <v>2</v>
    <v>5</v>
  </rv>
  <rv s="0">
    <v>3</v>
    <v>5</v>
  </rv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338DA-8BFE-47CB-858D-5CAD0149FCE7}">
  <sheetPr>
    <tabColor theme="7"/>
  </sheetPr>
  <dimension ref="B1:X30"/>
  <sheetViews>
    <sheetView showGridLines="0" tabSelected="1" zoomScaleNormal="100" workbookViewId="0">
      <selection activeCell="G3" sqref="G3"/>
    </sheetView>
  </sheetViews>
  <sheetFormatPr defaultRowHeight="15" x14ac:dyDescent="0.25"/>
  <cols>
    <col min="2" max="2" width="4" customWidth="1"/>
    <col min="3" max="3" width="10.85546875" customWidth="1"/>
    <col min="4" max="4" width="25.7109375" customWidth="1"/>
    <col min="5" max="5" width="10.85546875" customWidth="1"/>
    <col min="6" max="6" width="4" customWidth="1"/>
    <col min="8" max="8" width="4" customWidth="1"/>
    <col min="9" max="9" width="10.85546875" customWidth="1"/>
    <col min="10" max="10" width="25.7109375" customWidth="1"/>
    <col min="11" max="11" width="10.85546875" customWidth="1"/>
    <col min="12" max="12" width="4" customWidth="1"/>
    <col min="14" max="14" width="4" customWidth="1"/>
    <col min="15" max="15" width="10.85546875" customWidth="1"/>
    <col min="16" max="16" width="25.7109375" customWidth="1"/>
    <col min="17" max="17" width="10.85546875" customWidth="1"/>
    <col min="18" max="18" width="4" customWidth="1"/>
    <col min="20" max="20" width="4" customWidth="1"/>
    <col min="21" max="21" width="10.85546875" customWidth="1"/>
    <col min="22" max="22" width="25.7109375" customWidth="1"/>
    <col min="23" max="23" width="10.85546875" customWidth="1"/>
    <col min="24" max="24" width="4" customWidth="1"/>
  </cols>
  <sheetData>
    <row r="1" spans="2:24" ht="15.75" thickBot="1" x14ac:dyDescent="0.3"/>
    <row r="2" spans="2:24" ht="12.75" customHeight="1" x14ac:dyDescent="0.25">
      <c r="B2" s="91"/>
      <c r="C2" s="92"/>
      <c r="D2" s="92"/>
      <c r="E2" s="92"/>
      <c r="F2" s="93"/>
      <c r="H2" s="105"/>
      <c r="I2" s="106"/>
      <c r="J2" s="106"/>
      <c r="K2" s="106"/>
      <c r="L2" s="107"/>
      <c r="N2" s="16"/>
      <c r="O2" s="17"/>
      <c r="P2" s="17"/>
      <c r="Q2" s="17"/>
      <c r="R2" s="118"/>
      <c r="T2" s="23"/>
      <c r="U2" s="24"/>
      <c r="V2" s="24"/>
      <c r="W2" s="24"/>
      <c r="X2" s="80"/>
    </row>
    <row r="3" spans="2:24" s="58" customFormat="1" ht="72" customHeight="1" x14ac:dyDescent="0.25">
      <c r="B3" s="94"/>
      <c r="C3" s="95"/>
      <c r="D3" s="95" t="str">
        <f>Src!$A5</f>
        <v>FIREBALL</v>
      </c>
      <c r="E3" s="95"/>
      <c r="F3" s="96"/>
      <c r="H3" s="108"/>
      <c r="I3" s="109"/>
      <c r="J3" s="149" t="str">
        <f>Src!A6</f>
        <v>FROST NOVA</v>
      </c>
      <c r="K3" s="109"/>
      <c r="L3" s="110"/>
      <c r="N3" s="119"/>
      <c r="O3" s="120"/>
      <c r="P3" s="121" t="str">
        <f>Src!A7</f>
        <v>TIDAL WAVE</v>
      </c>
      <c r="Q3" s="120"/>
      <c r="R3" s="122"/>
      <c r="T3" s="81"/>
      <c r="U3" s="82"/>
      <c r="V3" s="89" t="str">
        <f>Src!A8</f>
        <v>BRAMBLE SNARE</v>
      </c>
      <c r="W3" s="82"/>
      <c r="X3" s="83"/>
    </row>
    <row r="4" spans="2:24" ht="184.5" customHeight="1" x14ac:dyDescent="0.25">
      <c r="B4" s="97"/>
      <c r="C4" s="157" t="e" vm="1">
        <f>Src!F5</f>
        <v>#VALUE!</v>
      </c>
      <c r="D4" s="157"/>
      <c r="E4" s="157"/>
      <c r="F4" s="98"/>
      <c r="H4" s="111"/>
      <c r="I4" s="112"/>
      <c r="J4" s="128">
        <f>Src!F6</f>
        <v>0</v>
      </c>
      <c r="K4" s="112"/>
      <c r="L4" s="113"/>
      <c r="N4" s="19"/>
      <c r="O4" s="123"/>
      <c r="P4" s="65">
        <f>Src!F7</f>
        <v>0</v>
      </c>
      <c r="Q4" s="123"/>
      <c r="R4" s="124"/>
      <c r="T4" s="26"/>
      <c r="U4" s="84"/>
      <c r="V4" s="64">
        <f xml:space="preserve"> Src!F8</f>
        <v>0</v>
      </c>
      <c r="W4" s="84"/>
      <c r="X4" s="85"/>
    </row>
    <row r="5" spans="2:24" ht="93" customHeight="1" x14ac:dyDescent="0.25">
      <c r="B5" s="97"/>
      <c r="C5" s="158" t="str">
        <f>Src!$C5</f>
        <v>Deals damage on contact. Explodes against surfaces</v>
      </c>
      <c r="D5" s="158"/>
      <c r="E5" s="158"/>
      <c r="F5" s="99"/>
      <c r="H5" s="111"/>
      <c r="I5" s="225" t="str">
        <f>Src!$C6</f>
        <v>Explodes on contact and freezes enemies. Frozen enemies take 1.5x damage</v>
      </c>
      <c r="J5" s="225"/>
      <c r="K5" s="225"/>
      <c r="L5" s="114"/>
      <c r="N5" s="19"/>
      <c r="O5" s="159" t="str">
        <f>Src!C7</f>
        <v>Summons a wave that pushes back all enemies it hits, accumulating damage</v>
      </c>
      <c r="P5" s="159"/>
      <c r="Q5" s="159"/>
      <c r="R5" s="125"/>
      <c r="T5" s="26"/>
      <c r="U5" s="160" t="str">
        <f>Src!C8</f>
        <v>Creates a trap area that slows + damages enemies as they move through it</v>
      </c>
      <c r="V5" s="160"/>
      <c r="W5" s="160"/>
      <c r="X5" s="86"/>
    </row>
    <row r="6" spans="2:24" ht="30" customHeight="1" thickBot="1" x14ac:dyDescent="0.3">
      <c r="B6" s="100"/>
      <c r="C6" s="101"/>
      <c r="D6" s="101"/>
      <c r="E6" s="101"/>
      <c r="F6" s="102"/>
      <c r="H6" s="115"/>
      <c r="I6" s="116"/>
      <c r="J6" s="116"/>
      <c r="K6" s="116"/>
      <c r="L6" s="117"/>
      <c r="N6" s="21"/>
      <c r="O6" s="126"/>
      <c r="P6" s="126"/>
      <c r="Q6" s="126"/>
      <c r="R6" s="127"/>
      <c r="T6" s="28"/>
      <c r="U6" s="87"/>
      <c r="V6" s="87"/>
      <c r="W6" s="87"/>
      <c r="X6" s="88"/>
    </row>
    <row r="7" spans="2:24" ht="30" customHeight="1" thickBot="1" x14ac:dyDescent="0.3"/>
    <row r="8" spans="2:24" ht="12.75" customHeight="1" x14ac:dyDescent="0.25">
      <c r="B8" s="67"/>
      <c r="C8" s="68"/>
      <c r="D8" s="68"/>
      <c r="E8" s="68"/>
      <c r="F8" s="69"/>
      <c r="H8" s="44"/>
      <c r="I8" s="45"/>
      <c r="J8" s="45"/>
      <c r="K8" s="45"/>
      <c r="L8" s="130"/>
      <c r="N8" s="51"/>
      <c r="O8" s="52"/>
      <c r="P8" s="52"/>
      <c r="Q8" s="52"/>
      <c r="R8" s="139"/>
      <c r="T8" s="67"/>
      <c r="U8" s="68"/>
      <c r="V8" s="68"/>
      <c r="W8" s="68"/>
      <c r="X8" s="69"/>
    </row>
    <row r="9" spans="2:24" s="58" customFormat="1" ht="72" customHeight="1" x14ac:dyDescent="0.25">
      <c r="B9" s="70"/>
      <c r="C9" s="71"/>
      <c r="D9" s="104" t="str">
        <f>Src!$A9</f>
        <v>LIGHTNING BOLT</v>
      </c>
      <c r="E9" s="71"/>
      <c r="F9" s="72"/>
      <c r="H9" s="131"/>
      <c r="I9" s="132"/>
      <c r="J9" s="150" t="str">
        <f>Src!A10</f>
        <v>BLACK HOLE</v>
      </c>
      <c r="K9" s="132"/>
      <c r="L9" s="133"/>
      <c r="N9" s="140"/>
      <c r="O9" s="141"/>
      <c r="P9" s="142" t="str">
        <f>Src!A11</f>
        <v>ASTRAL DAGGER</v>
      </c>
      <c r="Q9" s="141"/>
      <c r="R9" s="143"/>
      <c r="T9" s="70"/>
      <c r="U9" s="71"/>
      <c r="V9" s="104" t="str">
        <f>Src!A12</f>
        <v>CHAIN LIGHTNING</v>
      </c>
      <c r="W9" s="71"/>
      <c r="X9" s="72"/>
    </row>
    <row r="10" spans="2:24" ht="184.5" customHeight="1" x14ac:dyDescent="0.25">
      <c r="B10" s="73"/>
      <c r="C10" s="154">
        <f>Src!F9</f>
        <v>0</v>
      </c>
      <c r="D10" s="154"/>
      <c r="E10" s="154"/>
      <c r="F10" s="75"/>
      <c r="H10" s="47"/>
      <c r="I10" s="134"/>
      <c r="J10" s="63">
        <f>Src!F10</f>
        <v>0</v>
      </c>
      <c r="K10" s="134"/>
      <c r="L10" s="135"/>
      <c r="N10" s="54"/>
      <c r="O10" s="144"/>
      <c r="P10" s="62">
        <f>Src!F11</f>
        <v>0</v>
      </c>
      <c r="Q10" s="144"/>
      <c r="R10" s="145"/>
      <c r="T10" s="73"/>
      <c r="U10" s="74"/>
      <c r="V10" s="129">
        <f>Src!F12</f>
        <v>0</v>
      </c>
      <c r="W10" s="74"/>
      <c r="X10" s="75"/>
    </row>
    <row r="11" spans="2:24" ht="93" customHeight="1" x14ac:dyDescent="0.25">
      <c r="B11" s="73"/>
      <c r="C11" s="155" t="str">
        <f>Src!$C9</f>
        <v>Casts a bolt of lightning</v>
      </c>
      <c r="D11" s="155"/>
      <c r="E11" s="155"/>
      <c r="F11" s="76"/>
      <c r="H11" s="47"/>
      <c r="I11" s="156" t="str">
        <f>Src!$C10</f>
        <v>Vacuums in nearby enemies</v>
      </c>
      <c r="J11" s="156"/>
      <c r="K11" s="156"/>
      <c r="L11" s="136"/>
      <c r="N11" s="54"/>
      <c r="O11" s="153" t="str">
        <f>Src!C11</f>
        <v>Flies to the nearest enemy in vision</v>
      </c>
      <c r="P11" s="153"/>
      <c r="Q11" s="153"/>
      <c r="R11" s="146"/>
      <c r="T11" s="73"/>
      <c r="U11" s="155" t="str">
        <f>Src!C12</f>
        <v>Casts a tracking bolt of lightning that can chain to close enemies</v>
      </c>
      <c r="V11" s="155"/>
      <c r="W11" s="155"/>
      <c r="X11" s="76"/>
    </row>
    <row r="12" spans="2:24" ht="30" customHeight="1" thickBot="1" x14ac:dyDescent="0.3">
      <c r="B12" s="77"/>
      <c r="C12" s="78"/>
      <c r="D12" s="78"/>
      <c r="E12" s="78"/>
      <c r="F12" s="79"/>
      <c r="H12" s="49"/>
      <c r="I12" s="137"/>
      <c r="J12" s="137"/>
      <c r="K12" s="137"/>
      <c r="L12" s="138"/>
      <c r="N12" s="56"/>
      <c r="O12" s="147"/>
      <c r="P12" s="147"/>
      <c r="Q12" s="147"/>
      <c r="R12" s="148"/>
      <c r="T12" s="77"/>
      <c r="U12" s="78"/>
      <c r="V12" s="78"/>
      <c r="W12" s="78"/>
      <c r="X12" s="79"/>
    </row>
    <row r="13" spans="2:24" ht="30" customHeight="1" thickBot="1" x14ac:dyDescent="0.3"/>
    <row r="14" spans="2:24" ht="12.75" customHeight="1" x14ac:dyDescent="0.25">
      <c r="B14" s="51"/>
      <c r="C14" s="52"/>
      <c r="D14" s="52"/>
      <c r="E14" s="52"/>
      <c r="F14" s="139"/>
      <c r="H14" s="243"/>
      <c r="I14" s="244"/>
      <c r="J14" s="244"/>
      <c r="K14" s="244"/>
      <c r="L14" s="245"/>
      <c r="N14" s="243"/>
      <c r="O14" s="244"/>
      <c r="P14" s="244"/>
      <c r="Q14" s="244"/>
      <c r="R14" s="245"/>
      <c r="T14" s="243"/>
      <c r="U14" s="244"/>
      <c r="V14" s="244"/>
      <c r="W14" s="244"/>
      <c r="X14" s="245"/>
    </row>
    <row r="15" spans="2:24" s="58" customFormat="1" ht="72" customHeight="1" x14ac:dyDescent="0.25">
      <c r="B15" s="140"/>
      <c r="C15" s="141"/>
      <c r="D15" s="142" t="str">
        <f>Src!$A13</f>
        <v>DIVINE JUDGEMENT</v>
      </c>
      <c r="E15" s="141"/>
      <c r="F15" s="143"/>
      <c r="H15" s="246"/>
      <c r="I15" s="247"/>
      <c r="J15" s="248" t="str">
        <f>Src!A14</f>
        <v>Haste</v>
      </c>
      <c r="K15" s="247"/>
      <c r="L15" s="249"/>
      <c r="N15" s="246"/>
      <c r="O15" s="247"/>
      <c r="P15" s="248" t="str">
        <f>Src!A15</f>
        <v>HINDER</v>
      </c>
      <c r="Q15" s="247"/>
      <c r="R15" s="249"/>
      <c r="T15" s="246"/>
      <c r="U15" s="247"/>
      <c r="V15" s="259" t="str">
        <f>Src!A16</f>
        <v>MULLIGAN</v>
      </c>
      <c r="W15" s="247"/>
      <c r="X15" s="249"/>
    </row>
    <row r="16" spans="2:24" ht="184.5" customHeight="1" x14ac:dyDescent="0.25">
      <c r="B16" s="54"/>
      <c r="C16" s="152">
        <f>Src!F13</f>
        <v>0</v>
      </c>
      <c r="D16" s="152"/>
      <c r="E16" s="152"/>
      <c r="F16" s="145"/>
      <c r="H16" s="250"/>
      <c r="I16" s="251"/>
      <c r="J16" s="252">
        <f>Src!F14</f>
        <v>0</v>
      </c>
      <c r="K16" s="251"/>
      <c r="L16" s="253"/>
      <c r="N16" s="250"/>
      <c r="O16" s="251"/>
      <c r="P16" s="252">
        <f>Src!F15</f>
        <v>0</v>
      </c>
      <c r="Q16" s="251"/>
      <c r="R16" s="253"/>
      <c r="T16" s="250"/>
      <c r="U16" s="251"/>
      <c r="V16" s="252">
        <f xml:space="preserve"> Src!F16</f>
        <v>0</v>
      </c>
      <c r="W16" s="251"/>
      <c r="X16" s="253"/>
    </row>
    <row r="17" spans="2:24" ht="93" customHeight="1" x14ac:dyDescent="0.25">
      <c r="B17" s="54"/>
      <c r="C17" s="153" t="str">
        <f>Src!$C13</f>
        <v>Creates an area on the ground that damages to enemies within it. Mark any enemy to deal damage to the enemy proportional to the time spent once finishes</v>
      </c>
      <c r="D17" s="153"/>
      <c r="E17" s="153"/>
      <c r="F17" s="146"/>
      <c r="H17" s="250"/>
      <c r="I17" s="254" t="str">
        <f>Src!$C14</f>
        <v>Increases player movement speed for a set duration</v>
      </c>
      <c r="J17" s="254"/>
      <c r="K17" s="254"/>
      <c r="L17" s="255"/>
      <c r="N17" s="250"/>
      <c r="O17" s="254" t="str">
        <f>Src!C15</f>
        <v>Enemies are temporarily slowed on hit for a set duration.</v>
      </c>
      <c r="P17" s="254"/>
      <c r="Q17" s="254"/>
      <c r="R17" s="255"/>
      <c r="T17" s="250"/>
      <c r="U17" s="254" t="str">
        <f>Src!C16</f>
        <v>Randomly swap two cards in the current hand with cards in the deck</v>
      </c>
      <c r="V17" s="254"/>
      <c r="W17" s="254"/>
      <c r="X17" s="255"/>
    </row>
    <row r="18" spans="2:24" ht="30" customHeight="1" thickBot="1" x14ac:dyDescent="0.3">
      <c r="B18" s="56"/>
      <c r="C18" s="147"/>
      <c r="D18" s="147"/>
      <c r="E18" s="147"/>
      <c r="F18" s="148"/>
      <c r="H18" s="256"/>
      <c r="I18" s="257"/>
      <c r="J18" s="257"/>
      <c r="K18" s="257"/>
      <c r="L18" s="258"/>
      <c r="N18" s="256"/>
      <c r="O18" s="257"/>
      <c r="P18" s="257"/>
      <c r="Q18" s="257"/>
      <c r="R18" s="258"/>
      <c r="T18" s="256"/>
      <c r="U18" s="257"/>
      <c r="V18" s="257"/>
      <c r="W18" s="257"/>
      <c r="X18" s="258"/>
    </row>
    <row r="19" spans="2:24" ht="30" customHeight="1" thickBot="1" x14ac:dyDescent="0.3"/>
    <row r="20" spans="2:24" ht="12.75" customHeight="1" x14ac:dyDescent="0.25">
      <c r="B20" s="243"/>
      <c r="C20" s="244"/>
      <c r="D20" s="244"/>
      <c r="E20" s="244"/>
      <c r="F20" s="245"/>
      <c r="H20" s="243"/>
      <c r="I20" s="244"/>
      <c r="J20" s="244"/>
      <c r="K20" s="244"/>
      <c r="L20" s="245"/>
      <c r="N20" s="243"/>
      <c r="O20" s="244"/>
      <c r="P20" s="244"/>
      <c r="Q20" s="244"/>
      <c r="R20" s="245"/>
      <c r="T20" s="243"/>
      <c r="U20" s="244"/>
      <c r="V20" s="244"/>
      <c r="W20" s="244"/>
      <c r="X20" s="245"/>
    </row>
    <row r="21" spans="2:24" s="58" customFormat="1" ht="72" customHeight="1" x14ac:dyDescent="0.25">
      <c r="B21" s="246"/>
      <c r="C21" s="247"/>
      <c r="D21" s="260" t="str">
        <f>Src!$A17</f>
        <v>BUT WAIT, THERE'S MORE</v>
      </c>
      <c r="E21" s="247"/>
      <c r="F21" s="249"/>
      <c r="H21" s="246"/>
      <c r="I21" s="247"/>
      <c r="J21" s="262" t="str">
        <f>Src!A18</f>
        <v>MANA SHIELD</v>
      </c>
      <c r="K21" s="247"/>
      <c r="L21" s="249"/>
      <c r="N21" s="246"/>
      <c r="O21" s="247"/>
      <c r="P21" s="262" t="str">
        <f>Src!A19</f>
        <v>RUNAWAY BULL</v>
      </c>
      <c r="Q21" s="247"/>
      <c r="R21" s="249"/>
      <c r="T21" s="246"/>
      <c r="U21" s="247"/>
      <c r="V21" s="262" t="str">
        <f>Src!A20</f>
        <v>HOLY BLADE</v>
      </c>
      <c r="W21" s="247"/>
      <c r="X21" s="249"/>
    </row>
    <row r="22" spans="2:24" ht="184.5" customHeight="1" x14ac:dyDescent="0.25">
      <c r="B22" s="250"/>
      <c r="C22" s="261">
        <f>Src!F17</f>
        <v>0</v>
      </c>
      <c r="D22" s="261"/>
      <c r="E22" s="261"/>
      <c r="F22" s="253"/>
      <c r="H22" s="250"/>
      <c r="I22" s="251"/>
      <c r="J22" s="252">
        <f>Src!F18</f>
        <v>0</v>
      </c>
      <c r="K22" s="251"/>
      <c r="L22" s="253"/>
      <c r="N22" s="250"/>
      <c r="O22" s="251"/>
      <c r="P22" s="252">
        <f>Src!F19</f>
        <v>0</v>
      </c>
      <c r="Q22" s="251"/>
      <c r="R22" s="253"/>
      <c r="T22" s="250"/>
      <c r="U22" s="251"/>
      <c r="V22" s="252">
        <f xml:space="preserve"> Src!F20</f>
        <v>0</v>
      </c>
      <c r="W22" s="251"/>
      <c r="X22" s="253"/>
    </row>
    <row r="23" spans="2:24" ht="93" customHeight="1" x14ac:dyDescent="0.25">
      <c r="B23" s="250"/>
      <c r="C23" s="254" t="str">
        <f>Src!$C17</f>
        <v>Randomly shuffle two cards from the discard pile back into the deck</v>
      </c>
      <c r="D23" s="254"/>
      <c r="E23" s="254"/>
      <c r="F23" s="255"/>
      <c r="H23" s="250"/>
      <c r="I23" s="254" t="str">
        <f>Src!$C18</f>
        <v>Negate x number of hits</v>
      </c>
      <c r="J23" s="254"/>
      <c r="K23" s="254"/>
      <c r="L23" s="255"/>
      <c r="N23" s="250"/>
      <c r="O23" s="254" t="str">
        <f>Src!C19</f>
        <v>For a temporary amount of time, causes the player's dashes to push enemies away slightly and inflict damage</v>
      </c>
      <c r="P23" s="254"/>
      <c r="Q23" s="254"/>
      <c r="R23" s="255"/>
      <c r="T23" s="250"/>
      <c r="U23" s="254" t="str">
        <f>Src!C20</f>
        <v>Increase damage of your weapon by x for a certain amount of time</v>
      </c>
      <c r="V23" s="254"/>
      <c r="W23" s="254"/>
      <c r="X23" s="255"/>
    </row>
    <row r="24" spans="2:24" ht="30" customHeight="1" thickBot="1" x14ac:dyDescent="0.3">
      <c r="B24" s="256"/>
      <c r="C24" s="257"/>
      <c r="D24" s="257"/>
      <c r="E24" s="257"/>
      <c r="F24" s="258"/>
      <c r="H24" s="256"/>
      <c r="I24" s="257"/>
      <c r="J24" s="257"/>
      <c r="K24" s="257"/>
      <c r="L24" s="258"/>
      <c r="N24" s="256"/>
      <c r="O24" s="257"/>
      <c r="P24" s="257"/>
      <c r="Q24" s="257"/>
      <c r="R24" s="258"/>
      <c r="T24" s="256"/>
      <c r="U24" s="257"/>
      <c r="V24" s="257"/>
      <c r="W24" s="257"/>
      <c r="X24" s="258"/>
    </row>
    <row r="25" spans="2:24" ht="30" customHeight="1" thickBot="1" x14ac:dyDescent="0.3"/>
    <row r="26" spans="2:24" ht="12.75" customHeight="1" x14ac:dyDescent="0.25">
      <c r="B26" s="226"/>
      <c r="C26" s="227"/>
      <c r="D26" s="227"/>
      <c r="E26" s="227"/>
      <c r="F26" s="228"/>
      <c r="H26" s="226"/>
      <c r="I26" s="227"/>
      <c r="J26" s="227"/>
      <c r="K26" s="227"/>
      <c r="L26" s="228"/>
      <c r="N26" s="226"/>
      <c r="O26" s="227"/>
      <c r="P26" s="227"/>
      <c r="Q26" s="227"/>
      <c r="R26" s="228"/>
      <c r="T26" s="226"/>
      <c r="U26" s="227"/>
      <c r="V26" s="227"/>
      <c r="W26" s="227"/>
      <c r="X26" s="228"/>
    </row>
    <row r="27" spans="2:24" s="58" customFormat="1" ht="72" customHeight="1" x14ac:dyDescent="0.25">
      <c r="B27" s="229"/>
      <c r="C27" s="230"/>
      <c r="D27" s="231">
        <f>Src!$A21</f>
        <v>0</v>
      </c>
      <c r="E27" s="230"/>
      <c r="F27" s="232"/>
      <c r="H27" s="229"/>
      <c r="I27" s="230"/>
      <c r="J27" s="231">
        <f>Src!A22</f>
        <v>0</v>
      </c>
      <c r="K27" s="230"/>
      <c r="L27" s="232"/>
      <c r="N27" s="229"/>
      <c r="O27" s="230"/>
      <c r="P27" s="231">
        <f>Src!A23</f>
        <v>0</v>
      </c>
      <c r="Q27" s="230"/>
      <c r="R27" s="232"/>
      <c r="T27" s="229"/>
      <c r="U27" s="230"/>
      <c r="V27" s="231">
        <f>Src!A24</f>
        <v>0</v>
      </c>
      <c r="W27" s="230"/>
      <c r="X27" s="232"/>
    </row>
    <row r="28" spans="2:24" ht="184.5" customHeight="1" x14ac:dyDescent="0.25">
      <c r="B28" s="233"/>
      <c r="C28" s="234">
        <f>Src!F21</f>
        <v>0</v>
      </c>
      <c r="D28" s="234"/>
      <c r="E28" s="234"/>
      <c r="F28" s="235"/>
      <c r="H28" s="233"/>
      <c r="I28" s="241"/>
      <c r="J28" s="242">
        <f>Src!F22</f>
        <v>0</v>
      </c>
      <c r="K28" s="241"/>
      <c r="L28" s="235"/>
      <c r="N28" s="233"/>
      <c r="O28" s="241"/>
      <c r="P28" s="242">
        <f>Src!F23</f>
        <v>0</v>
      </c>
      <c r="Q28" s="241"/>
      <c r="R28" s="235"/>
      <c r="T28" s="233"/>
      <c r="U28" s="241"/>
      <c r="V28" s="242">
        <f xml:space="preserve"> Src!F24</f>
        <v>0</v>
      </c>
      <c r="W28" s="241"/>
      <c r="X28" s="235"/>
    </row>
    <row r="29" spans="2:24" ht="93" customHeight="1" x14ac:dyDescent="0.25">
      <c r="B29" s="233"/>
      <c r="C29" s="236">
        <f>Src!$C21</f>
        <v>0</v>
      </c>
      <c r="D29" s="236"/>
      <c r="E29" s="236"/>
      <c r="F29" s="237"/>
      <c r="H29" s="233"/>
      <c r="I29" s="236">
        <f>Src!$C22</f>
        <v>0</v>
      </c>
      <c r="J29" s="236"/>
      <c r="K29" s="236"/>
      <c r="L29" s="237"/>
      <c r="N29" s="233"/>
      <c r="O29" s="236">
        <f>Src!C23</f>
        <v>0</v>
      </c>
      <c r="P29" s="236"/>
      <c r="Q29" s="236"/>
      <c r="R29" s="237"/>
      <c r="T29" s="233"/>
      <c r="U29" s="236">
        <f>Src!C24</f>
        <v>0</v>
      </c>
      <c r="V29" s="236"/>
      <c r="W29" s="236"/>
      <c r="X29" s="237"/>
    </row>
    <row r="30" spans="2:24" ht="30" customHeight="1" thickBot="1" x14ac:dyDescent="0.3">
      <c r="B30" s="238"/>
      <c r="C30" s="239"/>
      <c r="D30" s="239"/>
      <c r="E30" s="239"/>
      <c r="F30" s="240"/>
      <c r="H30" s="238"/>
      <c r="I30" s="239"/>
      <c r="J30" s="239"/>
      <c r="K30" s="239"/>
      <c r="L30" s="240"/>
      <c r="N30" s="238"/>
      <c r="O30" s="239"/>
      <c r="P30" s="239"/>
      <c r="Q30" s="239"/>
      <c r="R30" s="240"/>
      <c r="T30" s="238"/>
      <c r="U30" s="239"/>
      <c r="V30" s="239"/>
      <c r="W30" s="239"/>
      <c r="X30" s="240"/>
    </row>
  </sheetData>
  <mergeCells count="25">
    <mergeCell ref="C4:E4"/>
    <mergeCell ref="C5:E5"/>
    <mergeCell ref="I5:K5"/>
    <mergeCell ref="O5:Q5"/>
    <mergeCell ref="U5:W5"/>
    <mergeCell ref="C10:E10"/>
    <mergeCell ref="C11:E11"/>
    <mergeCell ref="I11:K11"/>
    <mergeCell ref="O11:Q11"/>
    <mergeCell ref="U11:W11"/>
    <mergeCell ref="C16:E16"/>
    <mergeCell ref="C17:E17"/>
    <mergeCell ref="I17:K17"/>
    <mergeCell ref="O17:Q17"/>
    <mergeCell ref="U17:W17"/>
    <mergeCell ref="C22:E22"/>
    <mergeCell ref="C23:E23"/>
    <mergeCell ref="I23:K23"/>
    <mergeCell ref="O23:Q23"/>
    <mergeCell ref="U23:W23"/>
    <mergeCell ref="C28:E28"/>
    <mergeCell ref="C29:E29"/>
    <mergeCell ref="I29:K29"/>
    <mergeCell ref="O29:Q29"/>
    <mergeCell ref="U29:W29"/>
  </mergeCells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A5721-EBD9-4F1E-B70A-78151D63ED79}">
  <dimension ref="A1:H27"/>
  <sheetViews>
    <sheetView showGridLines="0" zoomScaleNormal="100" workbookViewId="0">
      <selection activeCell="C2" sqref="C2"/>
    </sheetView>
  </sheetViews>
  <sheetFormatPr defaultRowHeight="15" x14ac:dyDescent="0.25"/>
  <cols>
    <col min="1" max="1" width="55.42578125" customWidth="1"/>
    <col min="3" max="3" width="55.42578125" customWidth="1"/>
    <col min="5" max="5" width="55.42578125" customWidth="1"/>
    <col min="6" max="6" width="47.42578125" customWidth="1"/>
    <col min="8" max="13" width="15.42578125" customWidth="1"/>
  </cols>
  <sheetData>
    <row r="1" spans="1:8" ht="81" customHeight="1" x14ac:dyDescent="0.25">
      <c r="A1" s="58" t="s">
        <v>1</v>
      </c>
      <c r="C1" s="58"/>
      <c r="E1" s="58"/>
      <c r="G1" s="58" t="s">
        <v>19</v>
      </c>
      <c r="H1" t="e" vm="2">
        <v>#VALUE!</v>
      </c>
    </row>
    <row r="2" spans="1:8" ht="393" customHeight="1" x14ac:dyDescent="0.25">
      <c r="A2" t="e" vm="3">
        <v>#VALUE!</v>
      </c>
      <c r="C2" t="e" vm="4">
        <v>#VALUE!</v>
      </c>
    </row>
    <row r="3" spans="1:8" s="59" customFormat="1" x14ac:dyDescent="0.25"/>
    <row r="4" spans="1:8" s="61" customFormat="1" ht="31.5" customHeight="1" x14ac:dyDescent="0.25">
      <c r="A4" s="60" t="s">
        <v>2</v>
      </c>
      <c r="B4" s="60" t="s">
        <v>4</v>
      </c>
      <c r="C4" s="60" t="s">
        <v>3</v>
      </c>
      <c r="D4" s="60" t="s">
        <v>6</v>
      </c>
      <c r="E4" s="60"/>
      <c r="F4" s="60" t="s">
        <v>18</v>
      </c>
    </row>
    <row r="5" spans="1:8" s="61" customFormat="1" ht="186" customHeight="1" x14ac:dyDescent="0.25">
      <c r="A5" s="60" t="s">
        <v>0</v>
      </c>
      <c r="B5" s="60" t="s">
        <v>5</v>
      </c>
      <c r="C5" s="90" t="s">
        <v>21</v>
      </c>
      <c r="D5" s="103" t="s">
        <v>7</v>
      </c>
      <c r="E5" s="60"/>
      <c r="F5" s="61" t="e" vm="5">
        <v>#VALUE!</v>
      </c>
    </row>
    <row r="6" spans="1:8" s="90" customFormat="1" ht="186" customHeight="1" x14ac:dyDescent="0.25">
      <c r="A6" s="90" t="s">
        <v>20</v>
      </c>
      <c r="B6" s="90" t="s">
        <v>5</v>
      </c>
      <c r="C6" s="90" t="s">
        <v>22</v>
      </c>
      <c r="D6" s="103" t="s">
        <v>23</v>
      </c>
    </row>
    <row r="7" spans="1:8" s="90" customFormat="1" ht="186" customHeight="1" x14ac:dyDescent="0.25">
      <c r="A7" s="90" t="s">
        <v>14</v>
      </c>
      <c r="B7" s="90" t="s">
        <v>5</v>
      </c>
      <c r="C7" s="90" t="s">
        <v>24</v>
      </c>
      <c r="D7" s="103" t="s">
        <v>9</v>
      </c>
    </row>
    <row r="8" spans="1:8" s="90" customFormat="1" ht="186" customHeight="1" x14ac:dyDescent="0.25">
      <c r="A8" s="90" t="s">
        <v>15</v>
      </c>
      <c r="B8" s="90" t="s">
        <v>5</v>
      </c>
      <c r="C8" s="90" t="s">
        <v>26</v>
      </c>
      <c r="D8" s="103" t="s">
        <v>10</v>
      </c>
    </row>
    <row r="9" spans="1:8" s="90" customFormat="1" ht="186" customHeight="1" x14ac:dyDescent="0.25">
      <c r="A9" s="90" t="s">
        <v>17</v>
      </c>
      <c r="B9" s="90" t="s">
        <v>5</v>
      </c>
      <c r="C9" s="90" t="s">
        <v>30</v>
      </c>
      <c r="D9" s="103" t="s">
        <v>8</v>
      </c>
    </row>
    <row r="10" spans="1:8" s="90" customFormat="1" ht="186" customHeight="1" x14ac:dyDescent="0.25">
      <c r="A10" s="90" t="s">
        <v>27</v>
      </c>
      <c r="B10" s="90" t="s">
        <v>5</v>
      </c>
      <c r="C10" s="90" t="s">
        <v>31</v>
      </c>
      <c r="D10" s="103" t="s">
        <v>11</v>
      </c>
    </row>
    <row r="11" spans="1:8" s="90" customFormat="1" ht="186" customHeight="1" x14ac:dyDescent="0.25">
      <c r="A11" s="90" t="s">
        <v>16</v>
      </c>
      <c r="B11" s="90" t="s">
        <v>5</v>
      </c>
      <c r="C11" s="90" t="s">
        <v>25</v>
      </c>
      <c r="D11" s="103" t="s">
        <v>12</v>
      </c>
    </row>
    <row r="12" spans="1:8" s="90" customFormat="1" ht="186" customHeight="1" x14ac:dyDescent="0.25">
      <c r="A12" s="90" t="s">
        <v>28</v>
      </c>
      <c r="B12" s="90" t="s">
        <v>5</v>
      </c>
      <c r="C12" s="90" t="s">
        <v>32</v>
      </c>
      <c r="D12" s="103" t="s">
        <v>8</v>
      </c>
    </row>
    <row r="13" spans="1:8" s="90" customFormat="1" ht="186" customHeight="1" x14ac:dyDescent="0.25">
      <c r="A13" s="90" t="s">
        <v>29</v>
      </c>
      <c r="B13" s="90" t="s">
        <v>5</v>
      </c>
      <c r="C13" s="90" t="s">
        <v>33</v>
      </c>
      <c r="D13" s="103" t="s">
        <v>12</v>
      </c>
    </row>
    <row r="14" spans="1:8" s="90" customFormat="1" ht="186" customHeight="1" x14ac:dyDescent="0.25">
      <c r="A14" s="90" t="s">
        <v>34</v>
      </c>
      <c r="B14" s="90" t="s">
        <v>13</v>
      </c>
      <c r="C14" s="90" t="s">
        <v>41</v>
      </c>
      <c r="D14" s="103" t="s">
        <v>48</v>
      </c>
    </row>
    <row r="15" spans="1:8" s="90" customFormat="1" ht="186" customHeight="1" x14ac:dyDescent="0.25">
      <c r="A15" s="90" t="s">
        <v>35</v>
      </c>
      <c r="B15" s="90" t="s">
        <v>13</v>
      </c>
      <c r="C15" s="90" t="s">
        <v>42</v>
      </c>
      <c r="D15" s="103" t="s">
        <v>48</v>
      </c>
    </row>
    <row r="16" spans="1:8" s="90" customFormat="1" ht="186" customHeight="1" x14ac:dyDescent="0.25">
      <c r="A16" s="90" t="s">
        <v>36</v>
      </c>
      <c r="B16" s="90" t="s">
        <v>13</v>
      </c>
      <c r="C16" s="90" t="s">
        <v>43</v>
      </c>
      <c r="D16" s="103" t="s">
        <v>49</v>
      </c>
    </row>
    <row r="17" spans="1:4" s="90" customFormat="1" ht="186" customHeight="1" x14ac:dyDescent="0.25">
      <c r="A17" s="90" t="s">
        <v>37</v>
      </c>
      <c r="B17" s="90" t="s">
        <v>13</v>
      </c>
      <c r="C17" s="90" t="s">
        <v>44</v>
      </c>
      <c r="D17" s="103" t="s">
        <v>49</v>
      </c>
    </row>
    <row r="18" spans="1:4" s="90" customFormat="1" ht="186" customHeight="1" x14ac:dyDescent="0.25">
      <c r="A18" s="90" t="s">
        <v>38</v>
      </c>
      <c r="B18" s="90" t="s">
        <v>13</v>
      </c>
      <c r="C18" s="90" t="s">
        <v>45</v>
      </c>
      <c r="D18" s="103" t="s">
        <v>48</v>
      </c>
    </row>
    <row r="19" spans="1:4" s="90" customFormat="1" ht="186" customHeight="1" x14ac:dyDescent="0.25">
      <c r="A19" s="90" t="s">
        <v>39</v>
      </c>
      <c r="B19" s="90" t="s">
        <v>13</v>
      </c>
      <c r="C19" s="90" t="s">
        <v>46</v>
      </c>
      <c r="D19" s="103" t="s">
        <v>48</v>
      </c>
    </row>
    <row r="20" spans="1:4" s="90" customFormat="1" ht="186" customHeight="1" x14ac:dyDescent="0.25">
      <c r="A20" s="90" t="s">
        <v>40</v>
      </c>
      <c r="B20" s="90" t="s">
        <v>13</v>
      </c>
      <c r="C20" s="90" t="s">
        <v>47</v>
      </c>
      <c r="D20" s="103" t="s">
        <v>48</v>
      </c>
    </row>
    <row r="21" spans="1:4" s="90" customFormat="1" ht="186" customHeight="1" x14ac:dyDescent="0.25">
      <c r="B21" s="90" t="s">
        <v>13</v>
      </c>
      <c r="D21" s="103"/>
    </row>
    <row r="22" spans="1:4" s="90" customFormat="1" ht="186" customHeight="1" x14ac:dyDescent="0.25">
      <c r="B22" s="90" t="s">
        <v>13</v>
      </c>
      <c r="D22" s="103"/>
    </row>
    <row r="23" spans="1:4" s="90" customFormat="1" ht="186" customHeight="1" x14ac:dyDescent="0.25">
      <c r="B23" s="90" t="s">
        <v>13</v>
      </c>
    </row>
    <row r="24" spans="1:4" s="90" customFormat="1" ht="186" customHeight="1" x14ac:dyDescent="0.25">
      <c r="B24" s="90" t="s">
        <v>13</v>
      </c>
    </row>
    <row r="25" spans="1:4" s="90" customFormat="1" ht="186" customHeight="1" x14ac:dyDescent="0.25">
      <c r="B25" s="90" t="s">
        <v>13</v>
      </c>
    </row>
    <row r="26" spans="1:4" s="90" customFormat="1" ht="186" customHeight="1" x14ac:dyDescent="0.25">
      <c r="B26" s="90" t="s">
        <v>13</v>
      </c>
    </row>
    <row r="27" spans="1:4" s="90" customFormat="1" ht="186" customHeight="1" x14ac:dyDescent="0.25">
      <c r="B27" s="90" t="s">
        <v>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335AE-0575-4A87-BDE3-7C4C5B196C67}">
  <dimension ref="C2:O54"/>
  <sheetViews>
    <sheetView showGridLines="0" zoomScale="70" zoomScaleNormal="70" workbookViewId="0">
      <selection activeCell="C1" sqref="C1:G1048576"/>
    </sheetView>
  </sheetViews>
  <sheetFormatPr defaultRowHeight="15" x14ac:dyDescent="0.25"/>
  <cols>
    <col min="1" max="1" width="9.140625" customWidth="1"/>
    <col min="2" max="2" width="1.7109375" customWidth="1"/>
    <col min="3" max="3" width="5.7109375" customWidth="1"/>
    <col min="4" max="4" width="12.7109375" customWidth="1"/>
    <col min="5" max="5" width="47.7109375" customWidth="1"/>
    <col min="6" max="6" width="12.7109375" customWidth="1"/>
    <col min="7" max="7" width="5.7109375" customWidth="1"/>
    <col min="8" max="8" width="1.7109375" customWidth="1"/>
    <col min="9" max="9" width="20.7109375" customWidth="1"/>
    <col min="10" max="10" width="1.7109375" customWidth="1"/>
    <col min="11" max="11" width="5.7109375" customWidth="1"/>
    <col min="12" max="12" width="12.7109375" customWidth="1"/>
    <col min="13" max="13" width="47.7109375" customWidth="1"/>
    <col min="14" max="14" width="12.7109375" customWidth="1"/>
    <col min="15" max="15" width="5.7109375" customWidth="1"/>
    <col min="16" max="16" width="1.7109375" customWidth="1"/>
  </cols>
  <sheetData>
    <row r="2" spans="3:15" ht="10.15" customHeight="1" thickBot="1" x14ac:dyDescent="0.3"/>
    <row r="3" spans="3:15" ht="15" customHeight="1" x14ac:dyDescent="0.25">
      <c r="C3" s="9"/>
      <c r="D3" s="10"/>
      <c r="E3" s="205" t="str">
        <f>Src!A5</f>
        <v>FIREBALL</v>
      </c>
      <c r="F3" s="10"/>
      <c r="G3" s="11"/>
      <c r="K3" s="1"/>
      <c r="L3" s="2"/>
      <c r="M3" s="207"/>
      <c r="N3" s="2"/>
      <c r="O3" s="3"/>
    </row>
    <row r="4" spans="3:15" ht="49.9" customHeight="1" x14ac:dyDescent="0.25">
      <c r="C4" s="12"/>
      <c r="D4" s="209"/>
      <c r="E4" s="206"/>
      <c r="F4" s="209"/>
      <c r="G4" s="13"/>
      <c r="K4" s="4"/>
      <c r="L4" s="168"/>
      <c r="M4" s="208"/>
      <c r="N4" s="168"/>
      <c r="O4" s="5"/>
    </row>
    <row r="5" spans="3:15" ht="49.9" customHeight="1" x14ac:dyDescent="0.25">
      <c r="C5" s="12"/>
      <c r="D5" s="209"/>
      <c r="E5" s="206"/>
      <c r="F5" s="209"/>
      <c r="G5" s="13"/>
      <c r="K5" s="4"/>
      <c r="L5" s="168"/>
      <c r="M5" s="208"/>
      <c r="N5" s="168"/>
      <c r="O5" s="5"/>
    </row>
    <row r="6" spans="3:15" ht="288" customHeight="1" x14ac:dyDescent="0.45">
      <c r="C6" s="12"/>
      <c r="D6" s="212"/>
      <c r="E6" s="212"/>
      <c r="F6" s="212"/>
      <c r="G6" s="13"/>
      <c r="K6" s="4"/>
      <c r="L6" s="213"/>
      <c r="M6" s="213"/>
      <c r="N6" s="213"/>
      <c r="O6" s="5"/>
    </row>
    <row r="7" spans="3:15" ht="169.9" customHeight="1" x14ac:dyDescent="0.25">
      <c r="C7" s="12"/>
      <c r="D7" s="211" t="str">
        <f>Src!C5</f>
        <v>Deals damage on contact. Explodes against surfaces</v>
      </c>
      <c r="E7" s="211"/>
      <c r="F7" s="211"/>
      <c r="G7" s="66"/>
      <c r="K7" s="4"/>
      <c r="L7" s="164"/>
      <c r="M7" s="164"/>
      <c r="N7" s="164"/>
      <c r="O7" s="165"/>
    </row>
    <row r="8" spans="3:15" ht="45" customHeight="1" thickBot="1" x14ac:dyDescent="0.3">
      <c r="C8" s="14"/>
      <c r="D8" s="210"/>
      <c r="E8" s="210"/>
      <c r="F8" s="210"/>
      <c r="G8" s="15"/>
      <c r="K8" s="6"/>
      <c r="L8" s="162"/>
      <c r="M8" s="162"/>
      <c r="N8" s="162"/>
      <c r="O8" s="7"/>
    </row>
    <row r="9" spans="3:15" ht="10.15" customHeight="1" x14ac:dyDescent="0.25"/>
    <row r="11" spans="3:15" ht="10.15" customHeight="1" thickBot="1" x14ac:dyDescent="0.3"/>
    <row r="12" spans="3:15" ht="15" customHeight="1" x14ac:dyDescent="0.25">
      <c r="C12" s="16"/>
      <c r="D12" s="17"/>
      <c r="E12" s="203"/>
      <c r="F12" s="17"/>
      <c r="G12" s="18"/>
      <c r="K12" s="1"/>
      <c r="L12" s="2"/>
      <c r="M12" s="169"/>
      <c r="N12" s="2"/>
      <c r="O12" s="3"/>
    </row>
    <row r="13" spans="3:15" ht="49.9" customHeight="1" x14ac:dyDescent="0.25">
      <c r="C13" s="19"/>
      <c r="D13" s="201"/>
      <c r="E13" s="204"/>
      <c r="F13" s="201"/>
      <c r="G13" s="20"/>
      <c r="K13" s="4"/>
      <c r="L13" s="168"/>
      <c r="M13" s="170"/>
      <c r="N13" s="168"/>
      <c r="O13" s="5"/>
    </row>
    <row r="14" spans="3:15" ht="49.9" customHeight="1" x14ac:dyDescent="0.25">
      <c r="C14" s="19"/>
      <c r="D14" s="201"/>
      <c r="E14" s="204"/>
      <c r="F14" s="201"/>
      <c r="G14" s="20"/>
      <c r="K14" s="4"/>
      <c r="L14" s="168"/>
      <c r="M14" s="171"/>
      <c r="N14" s="168"/>
      <c r="O14" s="5"/>
    </row>
    <row r="15" spans="3:15" ht="288" customHeight="1" x14ac:dyDescent="0.45">
      <c r="C15" s="19"/>
      <c r="D15" s="202"/>
      <c r="E15" s="202"/>
      <c r="F15" s="202"/>
      <c r="G15" s="20"/>
      <c r="K15" s="4"/>
      <c r="L15" s="172"/>
      <c r="M15" s="173"/>
      <c r="N15" s="174"/>
      <c r="O15" s="5"/>
    </row>
    <row r="16" spans="3:15" ht="169.9" customHeight="1" x14ac:dyDescent="0.25">
      <c r="C16" s="19"/>
      <c r="D16" s="199"/>
      <c r="E16" s="199"/>
      <c r="F16" s="199"/>
      <c r="G16" s="200"/>
      <c r="K16" s="4"/>
      <c r="L16" s="164"/>
      <c r="M16" s="164"/>
      <c r="N16" s="164"/>
      <c r="O16" s="165"/>
    </row>
    <row r="17" spans="3:15" ht="45" customHeight="1" thickBot="1" x14ac:dyDescent="0.3">
      <c r="C17" s="21"/>
      <c r="D17" s="198"/>
      <c r="E17" s="198"/>
      <c r="F17" s="198"/>
      <c r="G17" s="22"/>
      <c r="K17" s="6"/>
      <c r="L17" s="162"/>
      <c r="M17" s="162"/>
      <c r="N17" s="162"/>
      <c r="O17" s="7"/>
    </row>
    <row r="18" spans="3:15" ht="10.15" customHeight="1" x14ac:dyDescent="0.25"/>
    <row r="20" spans="3:15" ht="10.15" customHeight="1" thickBot="1" x14ac:dyDescent="0.3"/>
    <row r="21" spans="3:15" ht="15" customHeight="1" x14ac:dyDescent="0.25">
      <c r="C21" s="23"/>
      <c r="D21" s="24"/>
      <c r="E21" s="189"/>
      <c r="F21" s="24"/>
      <c r="G21" s="25"/>
      <c r="K21" s="1"/>
      <c r="L21" s="2"/>
      <c r="M21" s="169"/>
      <c r="N21" s="2"/>
      <c r="O21" s="3"/>
    </row>
    <row r="22" spans="3:15" ht="49.9" customHeight="1" x14ac:dyDescent="0.25">
      <c r="C22" s="26"/>
      <c r="D22" s="188"/>
      <c r="E22" s="190"/>
      <c r="F22" s="188"/>
      <c r="G22" s="27"/>
      <c r="K22" s="4"/>
      <c r="L22" s="168"/>
      <c r="M22" s="170"/>
      <c r="N22" s="168"/>
      <c r="O22" s="5"/>
    </row>
    <row r="23" spans="3:15" ht="49.9" customHeight="1" x14ac:dyDescent="0.25">
      <c r="C23" s="26"/>
      <c r="D23" s="188"/>
      <c r="E23" s="190"/>
      <c r="F23" s="188"/>
      <c r="G23" s="27"/>
      <c r="K23" s="4"/>
      <c r="L23" s="168"/>
      <c r="M23" s="171"/>
      <c r="N23" s="168"/>
      <c r="O23" s="5"/>
    </row>
    <row r="24" spans="3:15" ht="288" customHeight="1" x14ac:dyDescent="0.45">
      <c r="C24" s="26"/>
      <c r="D24" s="197"/>
      <c r="E24" s="197"/>
      <c r="F24" s="197"/>
      <c r="G24" s="27"/>
      <c r="K24" s="4"/>
      <c r="L24" s="172"/>
      <c r="M24" s="173"/>
      <c r="N24" s="174"/>
      <c r="O24" s="5"/>
    </row>
    <row r="25" spans="3:15" ht="169.9" customHeight="1" x14ac:dyDescent="0.25">
      <c r="C25" s="26"/>
      <c r="D25" s="195"/>
      <c r="E25" s="195"/>
      <c r="F25" s="195"/>
      <c r="G25" s="196"/>
      <c r="K25" s="4"/>
      <c r="L25" s="164"/>
      <c r="M25" s="164"/>
      <c r="N25" s="164"/>
      <c r="O25" s="165"/>
    </row>
    <row r="26" spans="3:15" ht="45" customHeight="1" thickBot="1" x14ac:dyDescent="0.3">
      <c r="C26" s="28"/>
      <c r="D26" s="194"/>
      <c r="E26" s="194"/>
      <c r="F26" s="194"/>
      <c r="G26" s="29"/>
      <c r="K26" s="6"/>
      <c r="L26" s="162"/>
      <c r="M26" s="162"/>
      <c r="N26" s="162"/>
      <c r="O26" s="7"/>
    </row>
    <row r="27" spans="3:15" ht="10.15" customHeight="1" x14ac:dyDescent="0.25"/>
    <row r="29" spans="3:15" ht="10.15" customHeight="1" thickBot="1" x14ac:dyDescent="0.3"/>
    <row r="30" spans="3:15" ht="15" customHeight="1" x14ac:dyDescent="0.25">
      <c r="C30" s="37"/>
      <c r="D30" s="38"/>
      <c r="E30" s="184"/>
      <c r="F30" s="38"/>
      <c r="G30" s="39"/>
      <c r="K30" s="1"/>
      <c r="L30" s="2"/>
      <c r="M30" s="169"/>
      <c r="N30" s="2"/>
      <c r="O30" s="3"/>
    </row>
    <row r="31" spans="3:15" ht="49.9" customHeight="1" x14ac:dyDescent="0.25">
      <c r="C31" s="40"/>
      <c r="D31" s="178"/>
      <c r="E31" s="185"/>
      <c r="F31" s="178"/>
      <c r="G31" s="41"/>
      <c r="K31" s="4"/>
      <c r="L31" s="168"/>
      <c r="M31" s="170"/>
      <c r="N31" s="168"/>
      <c r="O31" s="5"/>
    </row>
    <row r="32" spans="3:15" ht="49.9" customHeight="1" x14ac:dyDescent="0.25">
      <c r="C32" s="40"/>
      <c r="D32" s="178"/>
      <c r="E32" s="185"/>
      <c r="F32" s="178"/>
      <c r="G32" s="41"/>
      <c r="K32" s="4"/>
      <c r="L32" s="168"/>
      <c r="M32" s="171"/>
      <c r="N32" s="168"/>
      <c r="O32" s="5"/>
    </row>
    <row r="33" spans="3:15" ht="288" customHeight="1" x14ac:dyDescent="0.45">
      <c r="C33" s="40"/>
      <c r="D33" s="183"/>
      <c r="E33" s="183"/>
      <c r="F33" s="183"/>
      <c r="G33" s="41"/>
      <c r="K33" s="4"/>
      <c r="L33" s="172"/>
      <c r="M33" s="173"/>
      <c r="N33" s="174"/>
      <c r="O33" s="5"/>
    </row>
    <row r="34" spans="3:15" ht="169.9" customHeight="1" x14ac:dyDescent="0.25">
      <c r="C34" s="40"/>
      <c r="D34" s="192"/>
      <c r="E34" s="192"/>
      <c r="F34" s="192"/>
      <c r="G34" s="193"/>
      <c r="K34" s="4"/>
      <c r="L34" s="164"/>
      <c r="M34" s="164"/>
      <c r="N34" s="164"/>
      <c r="O34" s="165"/>
    </row>
    <row r="35" spans="3:15" ht="45" customHeight="1" thickBot="1" x14ac:dyDescent="0.3">
      <c r="C35" s="42"/>
      <c r="D35" s="191"/>
      <c r="E35" s="191"/>
      <c r="F35" s="191"/>
      <c r="G35" s="43"/>
      <c r="K35" s="6"/>
      <c r="L35" s="162"/>
      <c r="M35" s="162"/>
      <c r="N35" s="162"/>
      <c r="O35" s="7"/>
    </row>
    <row r="36" spans="3:15" ht="10.15" customHeight="1" x14ac:dyDescent="0.25"/>
    <row r="38" spans="3:15" ht="10.15" customHeight="1" thickBot="1" x14ac:dyDescent="0.3"/>
    <row r="39" spans="3:15" ht="15" customHeight="1" x14ac:dyDescent="0.25">
      <c r="C39" s="44"/>
      <c r="D39" s="45"/>
      <c r="E39" s="186"/>
      <c r="F39" s="45"/>
      <c r="G39" s="46"/>
      <c r="K39" s="1"/>
      <c r="L39" s="2"/>
      <c r="M39" s="169"/>
      <c r="N39" s="2"/>
      <c r="O39" s="3"/>
    </row>
    <row r="40" spans="3:15" ht="49.9" customHeight="1" x14ac:dyDescent="0.25">
      <c r="C40" s="47"/>
      <c r="D40" s="161"/>
      <c r="E40" s="187"/>
      <c r="F40" s="161"/>
      <c r="G40" s="48"/>
      <c r="K40" s="4"/>
      <c r="L40" s="168"/>
      <c r="M40" s="170"/>
      <c r="N40" s="168"/>
      <c r="O40" s="5"/>
    </row>
    <row r="41" spans="3:15" ht="49.9" customHeight="1" x14ac:dyDescent="0.25">
      <c r="C41" s="47"/>
      <c r="D41" s="161"/>
      <c r="E41" s="187"/>
      <c r="F41" s="161"/>
      <c r="G41" s="48"/>
      <c r="K41" s="4"/>
      <c r="L41" s="168"/>
      <c r="M41" s="171"/>
      <c r="N41" s="168"/>
      <c r="O41" s="5"/>
    </row>
    <row r="42" spans="3:15" ht="288" customHeight="1" x14ac:dyDescent="0.45">
      <c r="C42" s="47"/>
      <c r="D42" s="182"/>
      <c r="E42" s="182"/>
      <c r="F42" s="182"/>
      <c r="G42" s="48"/>
      <c r="K42" s="4"/>
      <c r="L42" s="172"/>
      <c r="M42" s="173"/>
      <c r="N42" s="174"/>
      <c r="O42" s="5"/>
    </row>
    <row r="43" spans="3:15" ht="169.9" customHeight="1" x14ac:dyDescent="0.25">
      <c r="C43" s="47"/>
      <c r="D43" s="180"/>
      <c r="E43" s="180"/>
      <c r="F43" s="180"/>
      <c r="G43" s="181"/>
      <c r="K43" s="4"/>
      <c r="L43" s="164"/>
      <c r="M43" s="164"/>
      <c r="N43" s="164"/>
      <c r="O43" s="165"/>
    </row>
    <row r="44" spans="3:15" ht="45" customHeight="1" thickBot="1" x14ac:dyDescent="0.3">
      <c r="C44" s="49"/>
      <c r="D44" s="179"/>
      <c r="E44" s="179"/>
      <c r="F44" s="179"/>
      <c r="G44" s="50"/>
      <c r="K44" s="6"/>
      <c r="L44" s="162"/>
      <c r="M44" s="162"/>
      <c r="N44" s="162"/>
      <c r="O44" s="7"/>
    </row>
    <row r="45" spans="3:15" ht="10.15" customHeight="1" x14ac:dyDescent="0.25"/>
    <row r="47" spans="3:15" ht="10.15" customHeight="1" thickBot="1" x14ac:dyDescent="0.3"/>
    <row r="48" spans="3:15" ht="15" customHeight="1" x14ac:dyDescent="0.25">
      <c r="C48" s="51"/>
      <c r="D48" s="52"/>
      <c r="E48" s="176"/>
      <c r="F48" s="52"/>
      <c r="G48" s="53"/>
      <c r="K48" s="1"/>
      <c r="L48" s="2"/>
      <c r="M48" s="169"/>
      <c r="N48" s="2"/>
      <c r="O48" s="3"/>
    </row>
    <row r="49" spans="3:15" ht="49.9" customHeight="1" x14ac:dyDescent="0.25">
      <c r="C49" s="54"/>
      <c r="D49" s="152"/>
      <c r="E49" s="177"/>
      <c r="F49" s="152"/>
      <c r="G49" s="55"/>
      <c r="K49" s="4"/>
      <c r="L49" s="168"/>
      <c r="M49" s="170"/>
      <c r="N49" s="168"/>
      <c r="O49" s="5"/>
    </row>
    <row r="50" spans="3:15" ht="49.9" customHeight="1" x14ac:dyDescent="0.25">
      <c r="C50" s="54"/>
      <c r="D50" s="152"/>
      <c r="E50" s="177"/>
      <c r="F50" s="152"/>
      <c r="G50" s="55"/>
      <c r="K50" s="4"/>
      <c r="L50" s="168"/>
      <c r="M50" s="171"/>
      <c r="N50" s="168"/>
      <c r="O50" s="5"/>
    </row>
    <row r="51" spans="3:15" ht="288" customHeight="1" x14ac:dyDescent="0.45">
      <c r="C51" s="54"/>
      <c r="D51" s="175"/>
      <c r="E51" s="175"/>
      <c r="F51" s="175"/>
      <c r="G51" s="55"/>
      <c r="K51" s="4"/>
      <c r="L51" s="172"/>
      <c r="M51" s="173"/>
      <c r="N51" s="174"/>
      <c r="O51" s="5"/>
    </row>
    <row r="52" spans="3:15" ht="169.9" customHeight="1" x14ac:dyDescent="0.25">
      <c r="C52" s="54"/>
      <c r="D52" s="166"/>
      <c r="E52" s="166"/>
      <c r="F52" s="166"/>
      <c r="G52" s="167"/>
      <c r="K52" s="4"/>
      <c r="L52" s="164"/>
      <c r="M52" s="164"/>
      <c r="N52" s="164"/>
      <c r="O52" s="165"/>
    </row>
    <row r="53" spans="3:15" ht="45" customHeight="1" thickBot="1" x14ac:dyDescent="0.3">
      <c r="C53" s="56"/>
      <c r="D53" s="163"/>
      <c r="E53" s="163"/>
      <c r="F53" s="163"/>
      <c r="G53" s="57"/>
      <c r="K53" s="6"/>
      <c r="L53" s="162"/>
      <c r="M53" s="162"/>
      <c r="N53" s="162"/>
      <c r="O53" s="7"/>
    </row>
    <row r="54" spans="3:15" ht="10.15" customHeight="1" x14ac:dyDescent="0.25"/>
  </sheetData>
  <mergeCells count="72">
    <mergeCell ref="F4:F5"/>
    <mergeCell ref="L4:L5"/>
    <mergeCell ref="D8:F8"/>
    <mergeCell ref="L8:N8"/>
    <mergeCell ref="D7:F7"/>
    <mergeCell ref="D6:F6"/>
    <mergeCell ref="L6:N6"/>
    <mergeCell ref="L7:O7"/>
    <mergeCell ref="N4:N5"/>
    <mergeCell ref="L17:N17"/>
    <mergeCell ref="D17:F17"/>
    <mergeCell ref="L16:O16"/>
    <mergeCell ref="D16:G16"/>
    <mergeCell ref="D13:D14"/>
    <mergeCell ref="L15:N15"/>
    <mergeCell ref="D15:F15"/>
    <mergeCell ref="N13:N14"/>
    <mergeCell ref="M12:M14"/>
    <mergeCell ref="L13:L14"/>
    <mergeCell ref="F13:F14"/>
    <mergeCell ref="E12:E14"/>
    <mergeCell ref="E3:E5"/>
    <mergeCell ref="M3:M5"/>
    <mergeCell ref="D4:D5"/>
    <mergeCell ref="F22:F23"/>
    <mergeCell ref="E21:E23"/>
    <mergeCell ref="D22:D23"/>
    <mergeCell ref="L35:N35"/>
    <mergeCell ref="D35:F35"/>
    <mergeCell ref="L34:O34"/>
    <mergeCell ref="D34:G34"/>
    <mergeCell ref="N22:N23"/>
    <mergeCell ref="M21:M23"/>
    <mergeCell ref="L22:L23"/>
    <mergeCell ref="L26:N26"/>
    <mergeCell ref="D26:F26"/>
    <mergeCell ref="L25:O25"/>
    <mergeCell ref="D25:G25"/>
    <mergeCell ref="L24:N24"/>
    <mergeCell ref="D24:F24"/>
    <mergeCell ref="D31:D32"/>
    <mergeCell ref="L44:N44"/>
    <mergeCell ref="D44:F44"/>
    <mergeCell ref="L43:O43"/>
    <mergeCell ref="D43:G43"/>
    <mergeCell ref="L42:N42"/>
    <mergeCell ref="D42:F42"/>
    <mergeCell ref="L33:N33"/>
    <mergeCell ref="D33:F33"/>
    <mergeCell ref="N31:N32"/>
    <mergeCell ref="M30:M32"/>
    <mergeCell ref="L31:L32"/>
    <mergeCell ref="F31:F32"/>
    <mergeCell ref="E30:E32"/>
    <mergeCell ref="F40:F41"/>
    <mergeCell ref="E39:E41"/>
    <mergeCell ref="D40:D41"/>
    <mergeCell ref="L53:N53"/>
    <mergeCell ref="D53:F53"/>
    <mergeCell ref="L52:O52"/>
    <mergeCell ref="D52:G52"/>
    <mergeCell ref="N40:N41"/>
    <mergeCell ref="M39:M41"/>
    <mergeCell ref="L40:L41"/>
    <mergeCell ref="D49:D50"/>
    <mergeCell ref="L51:N51"/>
    <mergeCell ref="D51:F51"/>
    <mergeCell ref="N49:N50"/>
    <mergeCell ref="M48:M50"/>
    <mergeCell ref="L49:L50"/>
    <mergeCell ref="F49:F50"/>
    <mergeCell ref="E48:E50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60633-36CC-42EE-9306-300762C235AE}">
  <dimension ref="C2:AD9"/>
  <sheetViews>
    <sheetView showGridLines="0" zoomScale="55" zoomScaleNormal="55" workbookViewId="0">
      <selection activeCell="M4" sqref="M4"/>
    </sheetView>
  </sheetViews>
  <sheetFormatPr defaultRowHeight="15" x14ac:dyDescent="0.25"/>
  <cols>
    <col min="2" max="2" width="1.7109375" customWidth="1"/>
    <col min="3" max="3" width="5.7109375" customWidth="1"/>
    <col min="4" max="4" width="12.7109375" customWidth="1"/>
    <col min="5" max="5" width="47.7109375" customWidth="1"/>
    <col min="6" max="6" width="12.7109375" customWidth="1"/>
    <col min="7" max="7" width="5.7109375" customWidth="1"/>
    <col min="8" max="8" width="1.7109375" customWidth="1"/>
    <col min="9" max="9" width="20.7109375" customWidth="1"/>
    <col min="10" max="10" width="1.7109375" customWidth="1"/>
    <col min="11" max="11" width="5.7109375" customWidth="1"/>
    <col min="12" max="12" width="12.7109375" customWidth="1"/>
    <col min="13" max="13" width="47.7109375" customWidth="1"/>
    <col min="14" max="14" width="12.7109375" customWidth="1"/>
    <col min="15" max="15" width="5.7109375" customWidth="1"/>
    <col min="16" max="17" width="1.7109375" customWidth="1"/>
    <col min="18" max="18" width="5.7109375" customWidth="1"/>
    <col min="19" max="19" width="12.7109375" customWidth="1"/>
    <col min="20" max="20" width="47.7109375" customWidth="1"/>
    <col min="21" max="21" width="12.7109375" customWidth="1"/>
    <col min="22" max="22" width="5.7109375" customWidth="1"/>
    <col min="23" max="23" width="1.7109375" customWidth="1"/>
    <col min="24" max="24" width="20.7109375" customWidth="1"/>
    <col min="25" max="25" width="1.7109375" customWidth="1"/>
    <col min="26" max="26" width="5.7109375" customWidth="1"/>
    <col min="27" max="27" width="12.7109375" customWidth="1"/>
    <col min="28" max="28" width="47.7109375" customWidth="1"/>
    <col min="29" max="29" width="12.7109375" customWidth="1"/>
    <col min="30" max="30" width="5.7109375" customWidth="1"/>
    <col min="31" max="31" width="1.7109375" customWidth="1"/>
  </cols>
  <sheetData>
    <row r="2" spans="3:30" ht="10.15" customHeight="1" thickBot="1" x14ac:dyDescent="0.3"/>
    <row r="3" spans="3:30" ht="15" customHeight="1" x14ac:dyDescent="0.25">
      <c r="C3" s="30"/>
      <c r="D3" s="31"/>
      <c r="E3" s="215"/>
      <c r="F3" s="31"/>
      <c r="G3" s="32"/>
      <c r="K3" s="1"/>
      <c r="L3" s="2"/>
      <c r="M3" s="2"/>
      <c r="N3" s="2"/>
      <c r="O3" s="3"/>
      <c r="R3" s="224"/>
      <c r="S3" s="224"/>
      <c r="T3" s="224"/>
      <c r="U3" s="224"/>
      <c r="V3" s="224"/>
      <c r="Z3" s="1"/>
      <c r="AA3" s="2"/>
      <c r="AB3" s="169"/>
      <c r="AC3" s="2"/>
      <c r="AD3" s="3"/>
    </row>
    <row r="4" spans="3:30" ht="49.9" customHeight="1" x14ac:dyDescent="0.25">
      <c r="C4" s="33"/>
      <c r="D4" s="151"/>
      <c r="E4" s="216"/>
      <c r="F4" s="151"/>
      <c r="G4" s="34"/>
      <c r="K4" s="4"/>
      <c r="L4" s="168"/>
      <c r="M4" s="8"/>
      <c r="N4" s="168"/>
      <c r="O4" s="5"/>
      <c r="R4" s="224"/>
      <c r="S4" s="224"/>
      <c r="T4" s="224"/>
      <c r="U4" s="224"/>
      <c r="V4" s="224"/>
      <c r="Z4" s="4"/>
      <c r="AA4" s="168"/>
      <c r="AB4" s="170"/>
      <c r="AC4" s="168"/>
      <c r="AD4" s="5"/>
    </row>
    <row r="5" spans="3:30" ht="49.9" customHeight="1" x14ac:dyDescent="0.25">
      <c r="C5" s="33"/>
      <c r="D5" s="151"/>
      <c r="E5" s="216"/>
      <c r="F5" s="151"/>
      <c r="G5" s="34"/>
      <c r="K5" s="4"/>
      <c r="L5" s="168"/>
      <c r="M5" s="8"/>
      <c r="N5" s="168"/>
      <c r="O5" s="5"/>
      <c r="R5" s="224"/>
      <c r="S5" s="224"/>
      <c r="T5" s="224"/>
      <c r="U5" s="224"/>
      <c r="V5" s="224"/>
      <c r="Z5" s="4"/>
      <c r="AA5" s="168"/>
      <c r="AB5" s="170"/>
      <c r="AC5" s="168"/>
      <c r="AD5" s="5"/>
    </row>
    <row r="6" spans="3:30" ht="288" customHeight="1" x14ac:dyDescent="0.45">
      <c r="C6" s="33"/>
      <c r="D6" s="219"/>
      <c r="E6" s="219"/>
      <c r="F6" s="219"/>
      <c r="G6" s="34"/>
      <c r="K6" s="4"/>
      <c r="L6" s="220"/>
      <c r="M6" s="221"/>
      <c r="N6" s="222"/>
      <c r="O6" s="5"/>
      <c r="R6" s="224"/>
      <c r="S6" s="224"/>
      <c r="T6" s="224"/>
      <c r="U6" s="224"/>
      <c r="V6" s="224"/>
      <c r="Z6" s="4"/>
      <c r="AA6" s="213"/>
      <c r="AB6" s="213"/>
      <c r="AC6" s="213"/>
      <c r="AD6" s="5"/>
    </row>
    <row r="7" spans="3:30" ht="169.9" customHeight="1" x14ac:dyDescent="0.25">
      <c r="C7" s="33"/>
      <c r="D7" s="217"/>
      <c r="E7" s="217"/>
      <c r="F7" s="217"/>
      <c r="G7" s="218"/>
      <c r="K7" s="4"/>
      <c r="L7" s="223"/>
      <c r="M7" s="223"/>
      <c r="N7" s="223"/>
      <c r="O7" s="5"/>
      <c r="R7" s="224"/>
      <c r="S7" s="224"/>
      <c r="T7" s="224"/>
      <c r="U7" s="224"/>
      <c r="V7" s="224"/>
      <c r="Z7" s="4"/>
      <c r="AA7" s="164"/>
      <c r="AB7" s="164"/>
      <c r="AC7" s="164"/>
      <c r="AD7" s="165"/>
    </row>
    <row r="8" spans="3:30" ht="45" customHeight="1" thickBot="1" x14ac:dyDescent="0.3">
      <c r="C8" s="35"/>
      <c r="D8" s="214"/>
      <c r="E8" s="214"/>
      <c r="F8" s="214"/>
      <c r="G8" s="36"/>
      <c r="K8" s="6"/>
      <c r="L8" s="162"/>
      <c r="M8" s="162"/>
      <c r="N8" s="162"/>
      <c r="O8" s="7"/>
      <c r="R8" s="224"/>
      <c r="S8" s="224"/>
      <c r="T8" s="224"/>
      <c r="U8" s="224"/>
      <c r="V8" s="224"/>
      <c r="Z8" s="6"/>
      <c r="AA8" s="162"/>
      <c r="AB8" s="162"/>
      <c r="AC8" s="162"/>
      <c r="AD8" s="7"/>
    </row>
    <row r="9" spans="3:30" ht="10.15" customHeight="1" x14ac:dyDescent="0.25"/>
  </sheetData>
  <mergeCells count="18">
    <mergeCell ref="N4:N5"/>
    <mergeCell ref="L6:N6"/>
    <mergeCell ref="L8:N8"/>
    <mergeCell ref="L7:N7"/>
    <mergeCell ref="AA8:AC8"/>
    <mergeCell ref="R3:V8"/>
    <mergeCell ref="AB3:AB5"/>
    <mergeCell ref="AA4:AA5"/>
    <mergeCell ref="AC4:AC5"/>
    <mergeCell ref="AA6:AC6"/>
    <mergeCell ref="AA7:AD7"/>
    <mergeCell ref="L4:L5"/>
    <mergeCell ref="D8:F8"/>
    <mergeCell ref="E3:E5"/>
    <mergeCell ref="D7:G7"/>
    <mergeCell ref="D4:D5"/>
    <mergeCell ref="F4:F5"/>
    <mergeCell ref="D6:F6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Cards</vt:lpstr>
      <vt:lpstr>Src</vt:lpstr>
      <vt:lpstr>Attack</vt:lpstr>
      <vt:lpstr>Modify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 Croll</dc:creator>
  <cp:lastModifiedBy>Will Croll</cp:lastModifiedBy>
  <dcterms:created xsi:type="dcterms:W3CDTF">2015-06-05T18:17:20Z</dcterms:created>
  <dcterms:modified xsi:type="dcterms:W3CDTF">2026-02-27T23:30:37Z</dcterms:modified>
</cp:coreProperties>
</file>