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illc\My Stuff\School\CSC 486C\Assets\"/>
    </mc:Choice>
  </mc:AlternateContent>
  <xr:revisionPtr revIDLastSave="0" documentId="13_ncr:1_{7DEE7643-0666-4183-91A8-C247F969FD1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ards" sheetId="15" r:id="rId1"/>
    <sheet name="Cards Src" sheetId="14" r:id="rId2"/>
    <sheet name="Icons Src" sheetId="16" r:id="rId3"/>
    <sheet name="Border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5" l="1"/>
  <c r="C4" i="15"/>
  <c r="C5" i="15"/>
  <c r="U29" i="15"/>
  <c r="U28" i="15"/>
  <c r="V27" i="15"/>
  <c r="O29" i="15"/>
  <c r="O28" i="15"/>
  <c r="P27" i="15"/>
  <c r="I29" i="15"/>
  <c r="I28" i="15"/>
  <c r="J27" i="15"/>
  <c r="C29" i="15"/>
  <c r="C28" i="15"/>
  <c r="D27" i="15"/>
  <c r="U23" i="15"/>
  <c r="U22" i="15"/>
  <c r="V21" i="15"/>
  <c r="O23" i="15"/>
  <c r="O22" i="15"/>
  <c r="P21" i="15"/>
  <c r="I23" i="15"/>
  <c r="I22" i="15"/>
  <c r="J21" i="15"/>
  <c r="C23" i="15"/>
  <c r="C22" i="15"/>
  <c r="D21" i="15"/>
  <c r="U17" i="15"/>
  <c r="U16" i="15"/>
  <c r="V15" i="15"/>
  <c r="O17" i="15"/>
  <c r="O16" i="15"/>
  <c r="P15" i="15"/>
  <c r="I17" i="15"/>
  <c r="I16" i="15"/>
  <c r="J15" i="15"/>
  <c r="C17" i="15"/>
  <c r="C16" i="15"/>
  <c r="D15" i="15"/>
  <c r="U11" i="15"/>
  <c r="U10" i="15"/>
  <c r="V9" i="15"/>
  <c r="O11" i="15"/>
  <c r="O10" i="15"/>
  <c r="P9" i="15"/>
  <c r="I10" i="15"/>
  <c r="I11" i="15"/>
  <c r="J9" i="15"/>
  <c r="C11" i="15"/>
  <c r="C10" i="15"/>
  <c r="U4" i="15"/>
  <c r="O4" i="15"/>
  <c r="I4" i="15"/>
  <c r="D9" i="15"/>
  <c r="U5" i="15"/>
  <c r="O5" i="15"/>
  <c r="V3" i="15"/>
  <c r="P3" i="15"/>
  <c r="I5" i="15"/>
  <c r="J3" i="1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</futureMetadata>
  <valueMetadata count="4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</valueMetadata>
</metadata>
</file>

<file path=xl/sharedStrings.xml><?xml version="1.0" encoding="utf-8"?>
<sst xmlns="http://schemas.openxmlformats.org/spreadsheetml/2006/main" count="80" uniqueCount="55">
  <si>
    <t>FIREBALL</t>
  </si>
  <si>
    <t>Card Name</t>
  </si>
  <si>
    <t>Card Description</t>
  </si>
  <si>
    <t>Type</t>
  </si>
  <si>
    <t>Attack</t>
  </si>
  <si>
    <t>Element</t>
  </si>
  <si>
    <t>Fire</t>
  </si>
  <si>
    <t>Electric</t>
  </si>
  <si>
    <t>Water</t>
  </si>
  <si>
    <t>Plant</t>
  </si>
  <si>
    <t>Dark</t>
  </si>
  <si>
    <t>Light</t>
  </si>
  <si>
    <t>Modify</t>
  </si>
  <si>
    <t>TIDAL WAVE</t>
  </si>
  <si>
    <t>BRAMBLE SNARE</t>
  </si>
  <si>
    <t>ASTRAL DAGGER</t>
  </si>
  <si>
    <t>LIGHTNING BOLT</t>
  </si>
  <si>
    <t>Art</t>
  </si>
  <si>
    <t>FROST NOVA</t>
  </si>
  <si>
    <t>Deals damage on contact. Explodes against surfaces</t>
  </si>
  <si>
    <t>Explodes on contact and freezes enemies. Frozen enemies take 1.5x damage</t>
  </si>
  <si>
    <t>Ice</t>
  </si>
  <si>
    <t>Summons a wave that pushes back all enemies it hits, accumulating damage</t>
  </si>
  <si>
    <t>Flies to the nearest enemy in vision</t>
  </si>
  <si>
    <t>Creates a trap area that slows + damages enemies as they move through it</t>
  </si>
  <si>
    <t>BLACK HOLE</t>
  </si>
  <si>
    <t>CHAIN LIGHTNING</t>
  </si>
  <si>
    <t>DIVINE JUDGEMENT</t>
  </si>
  <si>
    <t>Casts a bolt of lightning</t>
  </si>
  <si>
    <t>Vacuums in nearby enemies</t>
  </si>
  <si>
    <t>Casts a tracking bolt of lightning that can chain to close enemies</t>
  </si>
  <si>
    <t>Creates an area on the ground that damages to enemies within it. Mark any enemy to deal damage to the enemy proportional to the time spent once finishes</t>
  </si>
  <si>
    <t>HINDER</t>
  </si>
  <si>
    <t>MULLIGAN</t>
  </si>
  <si>
    <t>BUT WAIT, THERE'S MORE</t>
  </si>
  <si>
    <t>MANA SHIELD</t>
  </si>
  <si>
    <t>RUNAWAY BULL</t>
  </si>
  <si>
    <t>HOLY BLADE</t>
  </si>
  <si>
    <t>Increases player movement speed for a set duration</t>
  </si>
  <si>
    <t>Enemies are temporarily slowed on hit for a set duration.</t>
  </si>
  <si>
    <t>Randomly swap two cards in the current hand with cards in the deck</t>
  </si>
  <si>
    <t>Randomly shuffle two cards from the discard pile back into the deck</t>
  </si>
  <si>
    <t>Negate x number of hits</t>
  </si>
  <si>
    <t>For a temporary amount of time, causes the player's dashes to push enemies away slightly and inflict damage</t>
  </si>
  <si>
    <t>Increase damage of your weapon by x for a certain amount of time</t>
  </si>
  <si>
    <t>Buff</t>
  </si>
  <si>
    <t>Draw</t>
  </si>
  <si>
    <t>HASTE</t>
  </si>
  <si>
    <t>RECALL</t>
  </si>
  <si>
    <t>GREED</t>
  </si>
  <si>
    <t>Recall last used card into deck</t>
  </si>
  <si>
    <t>Draw 2 cards</t>
  </si>
  <si>
    <t>Elements</t>
  </si>
  <si>
    <t>Cards</t>
  </si>
  <si>
    <t>Borders and Backsides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</si>
</sst>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72"/>
      <color theme="1"/>
      <name val="Germania One"/>
      <family val="2"/>
    </font>
    <font>
      <sz val="36"/>
      <color theme="1"/>
      <name val="Germania One"/>
      <family val="2"/>
    </font>
    <font>
      <sz val="28"/>
      <color theme="1"/>
      <name val="Germania One"/>
      <family val="2"/>
    </font>
    <font>
      <sz val="24"/>
      <color theme="1"/>
      <name val="Germania One"/>
      <family val="2"/>
    </font>
    <font>
      <sz val="22"/>
      <color theme="1"/>
      <name val="Germania One"/>
      <family val="2"/>
    </font>
    <font>
      <sz val="26"/>
      <color theme="1"/>
      <name val="Germania One"/>
      <family val="2"/>
    </font>
    <font>
      <sz val="22"/>
      <color theme="0"/>
      <name val="Germania One"/>
      <family val="2"/>
    </font>
    <font>
      <sz val="28"/>
      <color theme="0"/>
      <name val="Germania One"/>
      <family val="2"/>
    </font>
    <font>
      <sz val="29"/>
      <color theme="1"/>
      <name val="Germania One"/>
      <family val="2"/>
    </font>
    <font>
      <sz val="18"/>
      <color theme="1"/>
      <name val="Germania One"/>
      <family val="2"/>
    </font>
    <font>
      <sz val="14"/>
      <color theme="1"/>
      <name val="Germania One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7343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37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BCAB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6DCE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2" fillId="0" borderId="0" xfId="0" applyFont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6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6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4" xfId="0" applyFill="1" applyBorder="1"/>
    <xf numFmtId="0" fontId="0" fillId="5" borderId="6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4" xfId="0" applyFill="1" applyBorder="1"/>
    <xf numFmtId="0" fontId="0" fillId="6" borderId="6" xfId="0" applyFill="1" applyBorder="1"/>
    <xf numFmtId="0" fontId="0" fillId="0" borderId="0" xfId="0" applyAlignment="1">
      <alignment vertical="center"/>
    </xf>
    <xf numFmtId="0" fontId="0" fillId="0" borderId="12" xfId="0" applyBorder="1"/>
    <xf numFmtId="0" fontId="0" fillId="0" borderId="10" xfId="0" applyBorder="1" applyAlignment="1">
      <alignment vertical="center"/>
    </xf>
    <xf numFmtId="0" fontId="0" fillId="0" borderId="10" xfId="0" applyBorder="1"/>
    <xf numFmtId="0" fontId="5" fillId="3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top"/>
    </xf>
    <xf numFmtId="0" fontId="7" fillId="3" borderId="5" xfId="0" applyFont="1" applyFill="1" applyBorder="1" applyAlignment="1">
      <alignment horizontal="center" vertical="center" wrapText="1"/>
    </xf>
    <xf numFmtId="0" fontId="0" fillId="3" borderId="7" xfId="0" applyFill="1" applyBorder="1"/>
    <xf numFmtId="0" fontId="5" fillId="3" borderId="8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7" borderId="1" xfId="0" applyFill="1" applyBorder="1"/>
    <xf numFmtId="0" fontId="0" fillId="7" borderId="2" xfId="0" applyFill="1" applyBorder="1"/>
    <xf numFmtId="0" fontId="5" fillId="7" borderId="3" xfId="0" applyFont="1" applyFill="1" applyBorder="1" applyAlignment="1">
      <alignment horizontal="center" vertical="top"/>
    </xf>
    <xf numFmtId="0" fontId="0" fillId="7" borderId="4" xfId="0" applyFill="1" applyBorder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0" fillId="7" borderId="4" xfId="0" applyFill="1" applyBorder="1"/>
    <xf numFmtId="0" fontId="5" fillId="7" borderId="5" xfId="0" applyFont="1" applyFill="1" applyBorder="1" applyAlignment="1">
      <alignment horizontal="center" vertical="top"/>
    </xf>
    <xf numFmtId="0" fontId="7" fillId="7" borderId="5" xfId="0" applyFont="1" applyFill="1" applyBorder="1" applyAlignment="1">
      <alignment horizontal="center" vertical="center" wrapText="1"/>
    </xf>
    <xf numFmtId="0" fontId="0" fillId="7" borderId="6" xfId="0" applyFill="1" applyBorder="1"/>
    <xf numFmtId="0" fontId="0" fillId="7" borderId="7" xfId="0" applyFill="1" applyBorder="1"/>
    <xf numFmtId="0" fontId="5" fillId="7" borderId="8" xfId="0" applyFont="1" applyFill="1" applyBorder="1" applyAlignment="1">
      <alignment horizontal="center" vertical="top"/>
    </xf>
    <xf numFmtId="0" fontId="0" fillId="8" borderId="1" xfId="0" applyFill="1" applyBorder="1"/>
    <xf numFmtId="0" fontId="0" fillId="8" borderId="2" xfId="0" applyFill="1" applyBorder="1"/>
    <xf numFmtId="0" fontId="5" fillId="8" borderId="3" xfId="0" applyFont="1" applyFill="1" applyBorder="1" applyAlignment="1">
      <alignment horizontal="center" vertical="top"/>
    </xf>
    <xf numFmtId="0" fontId="0" fillId="8" borderId="4" xfId="0" applyFill="1" applyBorder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0" fillId="8" borderId="4" xfId="0" applyFill="1" applyBorder="1"/>
    <xf numFmtId="0" fontId="5" fillId="8" borderId="5" xfId="0" applyFont="1" applyFill="1" applyBorder="1" applyAlignment="1">
      <alignment horizontal="center" vertical="top"/>
    </xf>
    <xf numFmtId="0" fontId="7" fillId="8" borderId="5" xfId="0" applyFont="1" applyFill="1" applyBorder="1" applyAlignment="1">
      <alignment horizontal="center" vertical="center" wrapText="1"/>
    </xf>
    <xf numFmtId="0" fontId="0" fillId="8" borderId="6" xfId="0" applyFill="1" applyBorder="1"/>
    <xf numFmtId="0" fontId="0" fillId="8" borderId="7" xfId="0" applyFill="1" applyBorder="1"/>
    <xf numFmtId="0" fontId="5" fillId="8" borderId="8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0" fillId="2" borderId="4" xfId="0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5" fillId="2" borderId="8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/>
    </xf>
    <xf numFmtId="0" fontId="0" fillId="5" borderId="4" xfId="0" applyFill="1" applyBorder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top"/>
    </xf>
    <xf numFmtId="0" fontId="7" fillId="5" borderId="5" xfId="0" applyFont="1" applyFill="1" applyBorder="1" applyAlignment="1">
      <alignment horizontal="center" vertical="center" wrapText="1"/>
    </xf>
    <xf numFmtId="0" fontId="0" fillId="5" borderId="7" xfId="0" applyFill="1" applyBorder="1"/>
    <xf numFmtId="0" fontId="5" fillId="5" borderId="8" xfId="0" applyFont="1" applyFill="1" applyBorder="1" applyAlignment="1">
      <alignment horizontal="center" vertical="top"/>
    </xf>
    <xf numFmtId="0" fontId="5" fillId="6" borderId="3" xfId="0" applyFont="1" applyFill="1" applyBorder="1" applyAlignment="1">
      <alignment horizontal="center" vertical="top"/>
    </xf>
    <xf numFmtId="0" fontId="0" fillId="6" borderId="4" xfId="0" applyFill="1" applyBorder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top"/>
    </xf>
    <xf numFmtId="0" fontId="7" fillId="6" borderId="5" xfId="0" applyFont="1" applyFill="1" applyBorder="1" applyAlignment="1">
      <alignment horizontal="center" vertical="center" wrapText="1"/>
    </xf>
    <xf numFmtId="0" fontId="0" fillId="6" borderId="7" xfId="0" applyFill="1" applyBorder="1"/>
    <xf numFmtId="0" fontId="5" fillId="6" borderId="8" xfId="0" applyFont="1" applyFill="1" applyBorder="1" applyAlignment="1">
      <alignment horizontal="center" vertical="top"/>
    </xf>
    <xf numFmtId="0" fontId="6" fillId="8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0" fillId="10" borderId="1" xfId="0" applyFill="1" applyBorder="1"/>
    <xf numFmtId="0" fontId="0" fillId="10" borderId="2" xfId="0" applyFill="1" applyBorder="1"/>
    <xf numFmtId="0" fontId="5" fillId="10" borderId="3" xfId="0" applyFont="1" applyFill="1" applyBorder="1" applyAlignment="1">
      <alignment horizontal="center" vertical="top"/>
    </xf>
    <xf numFmtId="0" fontId="0" fillId="10" borderId="4" xfId="0" applyFill="1" applyBorder="1" applyAlignment="1">
      <alignment vertical="center"/>
    </xf>
    <xf numFmtId="0" fontId="5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/>
    </xf>
    <xf numFmtId="0" fontId="0" fillId="10" borderId="4" xfId="0" applyFill="1" applyBorder="1"/>
    <xf numFmtId="0" fontId="5" fillId="10" borderId="5" xfId="0" applyFont="1" applyFill="1" applyBorder="1" applyAlignment="1">
      <alignment horizontal="center" vertical="top"/>
    </xf>
    <xf numFmtId="0" fontId="7" fillId="10" borderId="5" xfId="0" applyFont="1" applyFill="1" applyBorder="1" applyAlignment="1">
      <alignment horizontal="center" vertical="center" wrapText="1"/>
    </xf>
    <xf numFmtId="0" fontId="0" fillId="10" borderId="6" xfId="0" applyFill="1" applyBorder="1"/>
    <xf numFmtId="0" fontId="0" fillId="10" borderId="7" xfId="0" applyFill="1" applyBorder="1"/>
    <xf numFmtId="0" fontId="5" fillId="10" borderId="8" xfId="0" applyFont="1" applyFill="1" applyBorder="1" applyAlignment="1">
      <alignment horizontal="center" vertical="top"/>
    </xf>
    <xf numFmtId="0" fontId="0" fillId="11" borderId="1" xfId="0" applyFill="1" applyBorder="1"/>
    <xf numFmtId="0" fontId="0" fillId="11" borderId="2" xfId="0" applyFill="1" applyBorder="1"/>
    <xf numFmtId="0" fontId="5" fillId="11" borderId="3" xfId="0" applyFont="1" applyFill="1" applyBorder="1" applyAlignment="1">
      <alignment horizontal="center" vertical="top"/>
    </xf>
    <xf numFmtId="0" fontId="0" fillId="11" borderId="4" xfId="0" applyFill="1" applyBorder="1" applyAlignment="1">
      <alignment vertical="center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/>
    </xf>
    <xf numFmtId="0" fontId="0" fillId="11" borderId="4" xfId="0" applyFill="1" applyBorder="1"/>
    <xf numFmtId="0" fontId="5" fillId="11" borderId="5" xfId="0" applyFont="1" applyFill="1" applyBorder="1" applyAlignment="1">
      <alignment horizontal="center" vertical="top"/>
    </xf>
    <xf numFmtId="0" fontId="8" fillId="11" borderId="0" xfId="0" applyFont="1" applyFill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0" fillId="11" borderId="6" xfId="0" applyFill="1" applyBorder="1"/>
    <xf numFmtId="0" fontId="0" fillId="11" borderId="7" xfId="0" applyFill="1" applyBorder="1"/>
    <xf numFmtId="0" fontId="5" fillId="11" borderId="8" xfId="0" applyFont="1" applyFill="1" applyBorder="1" applyAlignment="1">
      <alignment horizontal="center" vertical="top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 wrapText="1"/>
    </xf>
    <xf numFmtId="0" fontId="0" fillId="12" borderId="4" xfId="0" applyFill="1" applyBorder="1"/>
    <xf numFmtId="0" fontId="5" fillId="4" borderId="3" xfId="0" applyFont="1" applyFill="1" applyBorder="1" applyAlignment="1">
      <alignment horizontal="center" vertical="top"/>
    </xf>
    <xf numFmtId="0" fontId="0" fillId="4" borderId="4" xfId="0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top"/>
    </xf>
    <xf numFmtId="0" fontId="7" fillId="4" borderId="5" xfId="0" applyFont="1" applyFill="1" applyBorder="1" applyAlignment="1">
      <alignment horizontal="center" vertical="center" wrapText="1"/>
    </xf>
    <xf numFmtId="0" fontId="0" fillId="4" borderId="7" xfId="0" applyFill="1" applyBorder="1"/>
    <xf numFmtId="0" fontId="5" fillId="4" borderId="8" xfId="0" applyFont="1" applyFill="1" applyBorder="1" applyAlignment="1">
      <alignment horizontal="center" vertical="top"/>
    </xf>
    <xf numFmtId="0" fontId="5" fillId="13" borderId="5" xfId="0" applyFont="1" applyFill="1" applyBorder="1" applyAlignment="1">
      <alignment horizontal="center" vertical="top"/>
    </xf>
    <xf numFmtId="0" fontId="0" fillId="0" borderId="10" xfId="0" applyBorder="1" applyAlignment="1">
      <alignment horizontal="center" vertical="center"/>
    </xf>
    <xf numFmtId="0" fontId="12" fillId="11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3" fillId="11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12" xfId="0" applyBorder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DCE4"/>
      <color rgb="FFF2F2F2"/>
      <color rgb="FF37343E"/>
      <color rgb="FFFFE699"/>
      <color rgb="FFA9D08E"/>
      <color rgb="FF8EA9DB"/>
      <color rgb="FFDBCABD"/>
      <color rgb="FFDDEBF7"/>
      <color rgb="FFFFFFCC"/>
      <color rgb="FFFF7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emf"/><Relationship Id="rId13" Type="http://schemas.openxmlformats.org/officeDocument/2006/relationships/image" Target="../media/image44.emf"/><Relationship Id="rId3" Type="http://schemas.openxmlformats.org/officeDocument/2006/relationships/image" Target="../media/image34.emf"/><Relationship Id="rId7" Type="http://schemas.openxmlformats.org/officeDocument/2006/relationships/image" Target="../media/image38.emf"/><Relationship Id="rId12" Type="http://schemas.openxmlformats.org/officeDocument/2006/relationships/image" Target="../media/image43.emf"/><Relationship Id="rId17" Type="http://schemas.openxmlformats.org/officeDocument/2006/relationships/image" Target="../media/image48.emf"/><Relationship Id="rId2" Type="http://schemas.openxmlformats.org/officeDocument/2006/relationships/image" Target="../media/image33.emf"/><Relationship Id="rId16" Type="http://schemas.openxmlformats.org/officeDocument/2006/relationships/image" Target="../media/image47.png"/><Relationship Id="rId1" Type="http://schemas.openxmlformats.org/officeDocument/2006/relationships/image" Target="../media/image32.png"/><Relationship Id="rId6" Type="http://schemas.openxmlformats.org/officeDocument/2006/relationships/image" Target="../media/image37.emf"/><Relationship Id="rId11" Type="http://schemas.openxmlformats.org/officeDocument/2006/relationships/image" Target="../media/image42.emf"/><Relationship Id="rId5" Type="http://schemas.openxmlformats.org/officeDocument/2006/relationships/image" Target="../media/image36.emf"/><Relationship Id="rId15" Type="http://schemas.openxmlformats.org/officeDocument/2006/relationships/image" Target="../media/image46.emf"/><Relationship Id="rId10" Type="http://schemas.openxmlformats.org/officeDocument/2006/relationships/image" Target="../media/image41.emf"/><Relationship Id="rId4" Type="http://schemas.openxmlformats.org/officeDocument/2006/relationships/image" Target="../media/image35.emf"/><Relationship Id="rId9" Type="http://schemas.openxmlformats.org/officeDocument/2006/relationships/image" Target="../media/image40.emf"/><Relationship Id="rId14" Type="http://schemas.openxmlformats.org/officeDocument/2006/relationships/image" Target="../media/image45.em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56.emf"/><Relationship Id="rId13" Type="http://schemas.openxmlformats.org/officeDocument/2006/relationships/image" Target="../media/image61.emf"/><Relationship Id="rId3" Type="http://schemas.openxmlformats.org/officeDocument/2006/relationships/image" Target="../media/image51.emf"/><Relationship Id="rId7" Type="http://schemas.openxmlformats.org/officeDocument/2006/relationships/image" Target="../media/image55.emf"/><Relationship Id="rId12" Type="http://schemas.openxmlformats.org/officeDocument/2006/relationships/image" Target="../media/image60.emf"/><Relationship Id="rId2" Type="http://schemas.openxmlformats.org/officeDocument/2006/relationships/image" Target="../media/image50.emf"/><Relationship Id="rId1" Type="http://schemas.openxmlformats.org/officeDocument/2006/relationships/image" Target="../media/image49.emf"/><Relationship Id="rId6" Type="http://schemas.openxmlformats.org/officeDocument/2006/relationships/image" Target="../media/image54.emf"/><Relationship Id="rId11" Type="http://schemas.openxmlformats.org/officeDocument/2006/relationships/image" Target="../media/image59.emf"/><Relationship Id="rId5" Type="http://schemas.openxmlformats.org/officeDocument/2006/relationships/image" Target="../media/image53.emf"/><Relationship Id="rId15" Type="http://schemas.openxmlformats.org/officeDocument/2006/relationships/image" Target="../media/image63.emf"/><Relationship Id="rId10" Type="http://schemas.openxmlformats.org/officeDocument/2006/relationships/image" Target="../media/image58.emf"/><Relationship Id="rId4" Type="http://schemas.openxmlformats.org/officeDocument/2006/relationships/image" Target="../media/image52.emf"/><Relationship Id="rId9" Type="http://schemas.openxmlformats.org/officeDocument/2006/relationships/image" Target="../media/image57.emf"/><Relationship Id="rId14" Type="http://schemas.openxmlformats.org/officeDocument/2006/relationships/image" Target="../media/image6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12</xdr:col>
      <xdr:colOff>0</xdr:colOff>
      <xdr:row>6</xdr:row>
      <xdr:rowOff>9525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0A2F210-53DF-4CA9-8A4F-A28D51BA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900" y="200025"/>
          <a:ext cx="3695700" cy="4991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6</xdr:row>
      <xdr:rowOff>9525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BE3B254A-05A6-48FC-B070-5BFC03413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0025"/>
          <a:ext cx="3695700" cy="49911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0</xdr:colOff>
          <xdr:row>1</xdr:row>
          <xdr:rowOff>0</xdr:rowOff>
        </xdr:from>
        <xdr:ext cx="3705225" cy="5000625"/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55B11F5E-763A-404B-B231-BB497A0C628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A$2" spid="_x0000_s1215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220200" y="200025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0</xdr:colOff>
          <xdr:row>1</xdr:row>
          <xdr:rowOff>0</xdr:rowOff>
        </xdr:from>
        <xdr:ext cx="3705225" cy="5000625"/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D3316334-D9FF-41B1-89B8-D994EF00B35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A$2" spid="_x0000_s1215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3525500" y="200025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0</xdr:colOff>
          <xdr:row>7</xdr:row>
          <xdr:rowOff>0</xdr:rowOff>
        </xdr:from>
        <xdr:ext cx="3705225" cy="5000625"/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BFE5DA9D-2717-4BAA-AACB-A77E3AF34F3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A$2" spid="_x0000_s1215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3525500" y="5562600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0</xdr:colOff>
          <xdr:row>7</xdr:row>
          <xdr:rowOff>0</xdr:rowOff>
        </xdr:from>
        <xdr:ext cx="3705225" cy="5000625"/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4EF40632-C9BA-40AC-93A9-93ED92891B6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A$2" spid="_x0000_s1215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220200" y="5562600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0</xdr:colOff>
          <xdr:row>7</xdr:row>
          <xdr:rowOff>0</xdr:rowOff>
        </xdr:from>
        <xdr:ext cx="3705225" cy="5000625"/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35BBB72F-5133-4BDD-B5F7-4F69820251B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A$2" spid="_x0000_s1215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914900" y="5562600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7</xdr:row>
          <xdr:rowOff>0</xdr:rowOff>
        </xdr:from>
        <xdr:ext cx="3705225" cy="5000625"/>
        <xdr:pic>
          <xdr:nvPicPr>
            <xdr:cNvPr id="23" name="Picture 22">
              <a:extLst>
                <a:ext uri="{FF2B5EF4-FFF2-40B4-BE49-F238E27FC236}">
                  <a16:creationId xmlns:a16="http://schemas.microsoft.com/office/drawing/2014/main" id="{76D65C39-E8FB-4AB3-815E-7F6DDA65695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A$2" spid="_x0000_s1215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09600" y="5562600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0</xdr:colOff>
          <xdr:row>13</xdr:row>
          <xdr:rowOff>0</xdr:rowOff>
        </xdr:from>
        <xdr:ext cx="3705225" cy="5000625"/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6FB6548D-FFE1-40A8-8546-811979858E5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A$2" spid="_x0000_s1215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09600" y="10925175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</xdr:row>
          <xdr:rowOff>0</xdr:rowOff>
        </xdr:from>
        <xdr:to>
          <xdr:col>12</xdr:col>
          <xdr:colOff>9525</xdr:colOff>
          <xdr:row>18</xdr:row>
          <xdr:rowOff>19050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EBBF2DB2-FBBD-E209-1034-87EB6702CE7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C$2" spid="_x0000_s1215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914900" y="10925175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13</xdr:row>
          <xdr:rowOff>0</xdr:rowOff>
        </xdr:from>
        <xdr:to>
          <xdr:col>18</xdr:col>
          <xdr:colOff>9525</xdr:colOff>
          <xdr:row>18</xdr:row>
          <xdr:rowOff>19050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71B6122-5D31-4279-8B77-2525453DE72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C$2" spid="_x0000_s1215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9220200" y="10925175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13</xdr:row>
          <xdr:rowOff>0</xdr:rowOff>
        </xdr:from>
        <xdr:to>
          <xdr:col>24</xdr:col>
          <xdr:colOff>9525</xdr:colOff>
          <xdr:row>18</xdr:row>
          <xdr:rowOff>19050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4F4A0A05-EAEB-43E7-926C-D1ED54F0F97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C$2" spid="_x0000_s1216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3525500" y="10925175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0</xdr:rowOff>
        </xdr:from>
        <xdr:to>
          <xdr:col>6</xdr:col>
          <xdr:colOff>9525</xdr:colOff>
          <xdr:row>24</xdr:row>
          <xdr:rowOff>19050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48E4F5A0-DF6D-48FD-BB66-DAC83E81E0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C$2" spid="_x0000_s1216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09600" y="16287750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19</xdr:row>
          <xdr:rowOff>0</xdr:rowOff>
        </xdr:from>
        <xdr:to>
          <xdr:col>12</xdr:col>
          <xdr:colOff>9525</xdr:colOff>
          <xdr:row>24</xdr:row>
          <xdr:rowOff>19050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26158A2E-0158-4E51-8F64-6A048A09969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C$2" spid="_x0000_s1216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914900" y="16287750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19</xdr:row>
          <xdr:rowOff>0</xdr:rowOff>
        </xdr:from>
        <xdr:to>
          <xdr:col>18</xdr:col>
          <xdr:colOff>9525</xdr:colOff>
          <xdr:row>24</xdr:row>
          <xdr:rowOff>19050</xdr:rowOff>
        </xdr:to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06B5C7DE-6CFA-4958-94FC-DC4C415E193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C$2" spid="_x0000_s12163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9220200" y="16287750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19</xdr:row>
          <xdr:rowOff>0</xdr:rowOff>
        </xdr:from>
        <xdr:to>
          <xdr:col>24</xdr:col>
          <xdr:colOff>9525</xdr:colOff>
          <xdr:row>24</xdr:row>
          <xdr:rowOff>19050</xdr:rowOff>
        </xdr:to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79D01B02-5DCA-4108-8783-A59C268AEE8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C$2" spid="_x0000_s1216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3525500" y="16287750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3</xdr:col>
          <xdr:colOff>47625</xdr:colOff>
          <xdr:row>8</xdr:row>
          <xdr:rowOff>876300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C521C7F4-671D-0A45-9735-836567FFA2B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6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09600" y="5562600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21</xdr:col>
          <xdr:colOff>47625</xdr:colOff>
          <xdr:row>8</xdr:row>
          <xdr:rowOff>876300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8A36F1FB-D023-B2AA-5081-52E88989782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6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3525500" y="5562600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0</xdr:rowOff>
        </xdr:from>
        <xdr:to>
          <xdr:col>9</xdr:col>
          <xdr:colOff>47625</xdr:colOff>
          <xdr:row>2</xdr:row>
          <xdr:rowOff>876300</xdr:rowOff>
        </xdr:to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E91B8E38-EC91-7309-2972-9432ACEB0E2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67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4914900" y="200025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</xdr:row>
          <xdr:rowOff>0</xdr:rowOff>
        </xdr:from>
        <xdr:to>
          <xdr:col>15</xdr:col>
          <xdr:colOff>47625</xdr:colOff>
          <xdr:row>2</xdr:row>
          <xdr:rowOff>876300</xdr:rowOff>
        </xdr:to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4C994F9A-5B33-67AA-9C9C-D9DC82FDA6A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68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9220200" y="200025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</xdr:row>
          <xdr:rowOff>0</xdr:rowOff>
        </xdr:from>
        <xdr:to>
          <xdr:col>21</xdr:col>
          <xdr:colOff>47625</xdr:colOff>
          <xdr:row>2</xdr:row>
          <xdr:rowOff>876300</xdr:rowOff>
        </xdr:to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894E4A19-78F1-5343-F5D6-F5C223B9DE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69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13525500" y="200025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0</xdr:rowOff>
        </xdr:from>
        <xdr:to>
          <xdr:col>9</xdr:col>
          <xdr:colOff>47625</xdr:colOff>
          <xdr:row>8</xdr:row>
          <xdr:rowOff>876300</xdr:rowOff>
        </xdr:to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B576719D-8BA6-9858-BC7D-10FA133C864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70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4914900" y="5562600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7</xdr:row>
          <xdr:rowOff>0</xdr:rowOff>
        </xdr:from>
        <xdr:to>
          <xdr:col>15</xdr:col>
          <xdr:colOff>47625</xdr:colOff>
          <xdr:row>8</xdr:row>
          <xdr:rowOff>876300</xdr:rowOff>
        </xdr:to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C669489D-FE2E-74CB-12BA-FCF3F27D6F5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71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9220200" y="5562600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3</xdr:col>
          <xdr:colOff>47625</xdr:colOff>
          <xdr:row>14</xdr:row>
          <xdr:rowOff>876300</xdr:rowOff>
        </xdr:to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543F4BF1-000E-35C7-3B25-6A370D72B0A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72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609600" y="10925175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</xdr:row>
          <xdr:rowOff>0</xdr:rowOff>
        </xdr:from>
        <xdr:to>
          <xdr:col>9</xdr:col>
          <xdr:colOff>47625</xdr:colOff>
          <xdr:row>14</xdr:row>
          <xdr:rowOff>876300</xdr:rowOff>
        </xdr:to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B6DF1518-9F16-3EEB-4E52-B419760BD6D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73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4914900" y="10925175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13</xdr:row>
          <xdr:rowOff>0</xdr:rowOff>
        </xdr:from>
        <xdr:to>
          <xdr:col>15</xdr:col>
          <xdr:colOff>47625</xdr:colOff>
          <xdr:row>14</xdr:row>
          <xdr:rowOff>876300</xdr:rowOff>
        </xdr:to>
        <xdr:pic>
          <xdr:nvPicPr>
            <xdr:cNvPr id="28" name="Picture 27">
              <a:extLst>
                <a:ext uri="{FF2B5EF4-FFF2-40B4-BE49-F238E27FC236}">
                  <a16:creationId xmlns:a16="http://schemas.microsoft.com/office/drawing/2014/main" id="{3072FAA5-7CA2-2185-B433-53847D82E0A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74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9220200" y="10925175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19</xdr:row>
          <xdr:rowOff>0</xdr:rowOff>
        </xdr:from>
        <xdr:to>
          <xdr:col>15</xdr:col>
          <xdr:colOff>47625</xdr:colOff>
          <xdr:row>20</xdr:row>
          <xdr:rowOff>876300</xdr:rowOff>
        </xdr:to>
        <xdr:pic>
          <xdr:nvPicPr>
            <xdr:cNvPr id="33" name="Picture 32">
              <a:extLst>
                <a:ext uri="{FF2B5EF4-FFF2-40B4-BE49-F238E27FC236}">
                  <a16:creationId xmlns:a16="http://schemas.microsoft.com/office/drawing/2014/main" id="{1502DDBA-04CF-508A-A772-199391C1507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75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9220200" y="16287750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19</xdr:row>
          <xdr:rowOff>0</xdr:rowOff>
        </xdr:from>
        <xdr:to>
          <xdr:col>9</xdr:col>
          <xdr:colOff>47625</xdr:colOff>
          <xdr:row>20</xdr:row>
          <xdr:rowOff>876300</xdr:rowOff>
        </xdr:to>
        <xdr:pic>
          <xdr:nvPicPr>
            <xdr:cNvPr id="34" name="Picture 33">
              <a:extLst>
                <a:ext uri="{FF2B5EF4-FFF2-40B4-BE49-F238E27FC236}">
                  <a16:creationId xmlns:a16="http://schemas.microsoft.com/office/drawing/2014/main" id="{C71F4324-8F91-5E8B-B2FB-CA0D2990ECD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76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4914900" y="16287750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19</xdr:row>
          <xdr:rowOff>0</xdr:rowOff>
        </xdr:from>
        <xdr:to>
          <xdr:col>21</xdr:col>
          <xdr:colOff>47625</xdr:colOff>
          <xdr:row>20</xdr:row>
          <xdr:rowOff>876300</xdr:rowOff>
        </xdr:to>
        <xdr:pic>
          <xdr:nvPicPr>
            <xdr:cNvPr id="35" name="Picture 34">
              <a:extLst>
                <a:ext uri="{FF2B5EF4-FFF2-40B4-BE49-F238E27FC236}">
                  <a16:creationId xmlns:a16="http://schemas.microsoft.com/office/drawing/2014/main" id="{FBF4878E-BFFD-9114-3CC9-B741BD0495C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77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13525500" y="16287750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13</xdr:row>
          <xdr:rowOff>0</xdr:rowOff>
        </xdr:from>
        <xdr:to>
          <xdr:col>21</xdr:col>
          <xdr:colOff>47625</xdr:colOff>
          <xdr:row>14</xdr:row>
          <xdr:rowOff>876300</xdr:rowOff>
        </xdr:to>
        <xdr:pic>
          <xdr:nvPicPr>
            <xdr:cNvPr id="38" name="Picture 37">
              <a:extLst>
                <a:ext uri="{FF2B5EF4-FFF2-40B4-BE49-F238E27FC236}">
                  <a16:creationId xmlns:a16="http://schemas.microsoft.com/office/drawing/2014/main" id="{DA47B8F5-192C-52AC-48C5-1ADA10A2B02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78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13525500" y="10925175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0</xdr:rowOff>
        </xdr:from>
        <xdr:to>
          <xdr:col>3</xdr:col>
          <xdr:colOff>47625</xdr:colOff>
          <xdr:row>20</xdr:row>
          <xdr:rowOff>876300</xdr:rowOff>
        </xdr:to>
        <xdr:pic>
          <xdr:nvPicPr>
            <xdr:cNvPr id="39" name="Picture 38">
              <a:extLst>
                <a:ext uri="{FF2B5EF4-FFF2-40B4-BE49-F238E27FC236}">
                  <a16:creationId xmlns:a16="http://schemas.microsoft.com/office/drawing/2014/main" id="{43F4E71F-5074-6D90-70F8-B48999ECF18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79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609600" y="16287750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3</xdr:col>
      <xdr:colOff>38244</xdr:colOff>
      <xdr:row>2</xdr:row>
      <xdr:rowOff>866919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E118091D-D212-4806-9536-D03E9F87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200025"/>
          <a:ext cx="1028844" cy="102884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6</xdr:col>
          <xdr:colOff>9525</xdr:colOff>
          <xdr:row>30</xdr:row>
          <xdr:rowOff>19050</xdr:rowOff>
        </xdr:to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424869C4-9B51-4F72-BD92-76BDFE2D4B7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C$2" spid="_x0000_s1218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09600" y="21650325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25</xdr:row>
          <xdr:rowOff>0</xdr:rowOff>
        </xdr:from>
        <xdr:to>
          <xdr:col>12</xdr:col>
          <xdr:colOff>9525</xdr:colOff>
          <xdr:row>30</xdr:row>
          <xdr:rowOff>19050</xdr:rowOff>
        </xdr:to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957F9E96-7DD7-48A2-94DF-BEBAB69F781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$C$2" spid="_x0000_s1218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914900" y="21650325"/>
              <a:ext cx="3705225" cy="5000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3</xdr:col>
          <xdr:colOff>47625</xdr:colOff>
          <xdr:row>26</xdr:row>
          <xdr:rowOff>876300</xdr:rowOff>
        </xdr:to>
        <xdr:pic>
          <xdr:nvPicPr>
            <xdr:cNvPr id="29" name="Picture 28">
              <a:extLst>
                <a:ext uri="{FF2B5EF4-FFF2-40B4-BE49-F238E27FC236}">
                  <a16:creationId xmlns:a16="http://schemas.microsoft.com/office/drawing/2014/main" id="{292D765A-E3FA-4B39-AADB-BE88A55C8C1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82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609600" y="21650325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25</xdr:row>
          <xdr:rowOff>0</xdr:rowOff>
        </xdr:from>
        <xdr:to>
          <xdr:col>9</xdr:col>
          <xdr:colOff>47625</xdr:colOff>
          <xdr:row>26</xdr:row>
          <xdr:rowOff>876300</xdr:rowOff>
        </xdr:to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432560D0-7668-43F9-B2B0-01C69C0E123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Cards Src'!#REF!" spid="_x0000_s12183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4914900" y="21650325"/>
              <a:ext cx="1038225" cy="1038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292100</xdr:colOff>
      <xdr:row>4</xdr:row>
      <xdr:rowOff>279400</xdr:rowOff>
    </xdr:from>
    <xdr:to>
      <xdr:col>7</xdr:col>
      <xdr:colOff>0</xdr:colOff>
      <xdr:row>7</xdr:row>
      <xdr:rowOff>557900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D7DEC13-14B2-4A7B-B118-9B5CA26A2984}"/>
            </a:ext>
          </a:extLst>
        </xdr:cNvPr>
        <xdr:cNvSpPr/>
      </xdr:nvSpPr>
      <xdr:spPr>
        <a:xfrm rot="5400000">
          <a:off x="10526210" y="4660450"/>
          <a:ext cx="6725020" cy="9652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4</xdr:row>
      <xdr:rowOff>241300</xdr:rowOff>
    </xdr:from>
    <xdr:to>
      <xdr:col>2</xdr:col>
      <xdr:colOff>95250</xdr:colOff>
      <xdr:row>7</xdr:row>
      <xdr:rowOff>519800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F2FC26B-7636-4651-9A40-5D6524EA2B87}"/>
            </a:ext>
          </a:extLst>
        </xdr:cNvPr>
        <xdr:cNvSpPr/>
      </xdr:nvSpPr>
      <xdr:spPr>
        <a:xfrm rot="16200000" flipH="1">
          <a:off x="4838515" y="4622985"/>
          <a:ext cx="6725020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6</xdr:col>
      <xdr:colOff>38100</xdr:colOff>
      <xdr:row>2</xdr:row>
      <xdr:rowOff>101600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675AAFE-C1A0-4CF1-8620-4A96D4173947}"/>
            </a:ext>
          </a:extLst>
        </xdr:cNvPr>
        <xdr:cNvSpPr/>
      </xdr:nvSpPr>
      <xdr:spPr>
        <a:xfrm>
          <a:off x="8542020" y="243840"/>
          <a:ext cx="5044440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20089</xdr:colOff>
      <xdr:row>1</xdr:row>
      <xdr:rowOff>119208</xdr:rowOff>
    </xdr:from>
    <xdr:to>
      <xdr:col>6</xdr:col>
      <xdr:colOff>378406</xdr:colOff>
      <xdr:row>4</xdr:row>
      <xdr:rowOff>542058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CFC55691-77FC-4DA3-9A5A-8B01C903F378}"/>
            </a:ext>
          </a:extLst>
        </xdr:cNvPr>
        <xdr:cNvSpPr/>
      </xdr:nvSpPr>
      <xdr:spPr>
        <a:xfrm rot="16200000" flipH="1">
          <a:off x="12629403" y="311494"/>
          <a:ext cx="1367730" cy="1226997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838897</xdr:colOff>
      <xdr:row>4</xdr:row>
      <xdr:rowOff>480000</xdr:rowOff>
    </xdr:to>
    <xdr:sp macro="" textlink="">
      <xdr:nvSpPr>
        <xdr:cNvPr id="7" name="Right Triangle 6">
          <a:extLst>
            <a:ext uri="{FF2B5EF4-FFF2-40B4-BE49-F238E27FC236}">
              <a16:creationId xmlns:a16="http://schemas.microsoft.com/office/drawing/2014/main" id="{379EDEAD-A652-4D2F-9B53-FE139644FAE6}"/>
            </a:ext>
          </a:extLst>
        </xdr:cNvPr>
        <xdr:cNvSpPr/>
      </xdr:nvSpPr>
      <xdr:spPr>
        <a:xfrm rot="5400000">
          <a:off x="8115679" y="281561"/>
          <a:ext cx="1302960" cy="1227517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6</xdr:row>
      <xdr:rowOff>2152649</xdr:rowOff>
    </xdr:from>
    <xdr:to>
      <xdr:col>7</xdr:col>
      <xdr:colOff>0</xdr:colOff>
      <xdr:row>7</xdr:row>
      <xdr:rowOff>558082</xdr:rowOff>
    </xdr:to>
    <xdr:sp macro="" textlink="">
      <xdr:nvSpPr>
        <xdr:cNvPr id="8" name="Right Brace 13">
          <a:extLst>
            <a:ext uri="{FF2B5EF4-FFF2-40B4-BE49-F238E27FC236}">
              <a16:creationId xmlns:a16="http://schemas.microsoft.com/office/drawing/2014/main" id="{846E0229-A375-4063-BC38-365C628BB5C1}"/>
            </a:ext>
          </a:extLst>
        </xdr:cNvPr>
        <xdr:cNvSpPr/>
      </xdr:nvSpPr>
      <xdr:spPr>
        <a:xfrm rot="5400000" flipH="1" flipV="1">
          <a:off x="10764243" y="4898666"/>
          <a:ext cx="561893" cy="578358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310787</xdr:colOff>
      <xdr:row>4</xdr:row>
      <xdr:rowOff>562520</xdr:rowOff>
    </xdr:from>
    <xdr:to>
      <xdr:col>6</xdr:col>
      <xdr:colOff>97427</xdr:colOff>
      <xdr:row>6</xdr:row>
      <xdr:rowOff>124939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5B39A840-F7CC-494F-8ED6-0BEF40235E42}"/>
            </a:ext>
          </a:extLst>
        </xdr:cNvPr>
        <xdr:cNvSpPr/>
      </xdr:nvSpPr>
      <xdr:spPr>
        <a:xfrm>
          <a:off x="8311787" y="1688202"/>
          <a:ext cx="5051367" cy="3840010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95250</xdr:colOff>
      <xdr:row>2</xdr:row>
      <xdr:rowOff>95250</xdr:rowOff>
    </xdr:from>
    <xdr:to>
      <xdr:col>6</xdr:col>
      <xdr:colOff>331607</xdr:colOff>
      <xdr:row>4</xdr:row>
      <xdr:rowOff>358821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A23403CE-55B9-6337-A5C5-428546BC1A16}"/>
            </a:ext>
          </a:extLst>
        </xdr:cNvPr>
        <xdr:cNvSpPr/>
      </xdr:nvSpPr>
      <xdr:spPr>
        <a:xfrm>
          <a:off x="12464143" y="408214"/>
          <a:ext cx="1080000" cy="1080000"/>
        </a:xfrm>
        <a:prstGeom prst="ellipse">
          <a:avLst/>
        </a:prstGeom>
        <a:solidFill>
          <a:schemeClr val="accent4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63955</xdr:colOff>
      <xdr:row>2</xdr:row>
      <xdr:rowOff>98592</xdr:rowOff>
    </xdr:from>
    <xdr:to>
      <xdr:col>3</xdr:col>
      <xdr:colOff>762955</xdr:colOff>
      <xdr:row>4</xdr:row>
      <xdr:rowOff>362163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D8382B8D-6FFA-4FEC-A911-6E277F831661}"/>
            </a:ext>
          </a:extLst>
        </xdr:cNvPr>
        <xdr:cNvSpPr/>
      </xdr:nvSpPr>
      <xdr:spPr>
        <a:xfrm>
          <a:off x="8064955" y="410319"/>
          <a:ext cx="1080000" cy="1077526"/>
        </a:xfrm>
        <a:prstGeom prst="ellipse">
          <a:avLst/>
        </a:prstGeom>
        <a:solidFill>
          <a:schemeClr val="accent4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292100</xdr:colOff>
      <xdr:row>4</xdr:row>
      <xdr:rowOff>279400</xdr:rowOff>
    </xdr:from>
    <xdr:to>
      <xdr:col>15</xdr:col>
      <xdr:colOff>0</xdr:colOff>
      <xdr:row>7</xdr:row>
      <xdr:rowOff>557900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9921392-0748-4D20-81F2-3687EEFEC013}"/>
            </a:ext>
          </a:extLst>
        </xdr:cNvPr>
        <xdr:cNvSpPr/>
      </xdr:nvSpPr>
      <xdr:spPr>
        <a:xfrm rot="5400000">
          <a:off x="10208075" y="4727125"/>
          <a:ext cx="6717400" cy="88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</xdr:row>
      <xdr:rowOff>241300</xdr:rowOff>
    </xdr:from>
    <xdr:to>
      <xdr:col>10</xdr:col>
      <xdr:colOff>95250</xdr:colOff>
      <xdr:row>7</xdr:row>
      <xdr:rowOff>519800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490E1BF-51FF-47A7-9452-84DBB6DD8647}"/>
            </a:ext>
          </a:extLst>
        </xdr:cNvPr>
        <xdr:cNvSpPr/>
      </xdr:nvSpPr>
      <xdr:spPr>
        <a:xfrm rot="16200000" flipH="1">
          <a:off x="4661350" y="4685850"/>
          <a:ext cx="6717400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14</xdr:col>
      <xdr:colOff>38100</xdr:colOff>
      <xdr:row>2</xdr:row>
      <xdr:rowOff>101600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5C721E9-F89D-4E78-ACC2-BE7626BB5E27}"/>
            </a:ext>
          </a:extLst>
        </xdr:cNvPr>
        <xdr:cNvSpPr/>
      </xdr:nvSpPr>
      <xdr:spPr>
        <a:xfrm>
          <a:off x="8353425" y="314325"/>
          <a:ext cx="4914900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2</xdr:row>
      <xdr:rowOff>4908</xdr:rowOff>
    </xdr:from>
    <xdr:to>
      <xdr:col>14</xdr:col>
      <xdr:colOff>387931</xdr:colOff>
      <xdr:row>4</xdr:row>
      <xdr:rowOff>484908</xdr:rowOff>
    </xdr:to>
    <xdr:sp macro="" textlink="">
      <xdr:nvSpPr>
        <xdr:cNvPr id="29" name="Right Triangle 28">
          <a:extLst>
            <a:ext uri="{FF2B5EF4-FFF2-40B4-BE49-F238E27FC236}">
              <a16:creationId xmlns:a16="http://schemas.microsoft.com/office/drawing/2014/main" id="{44DB5DE2-44B7-4CC2-9FA1-45D577B2865E}"/>
            </a:ext>
          </a:extLst>
        </xdr:cNvPr>
        <xdr:cNvSpPr/>
      </xdr:nvSpPr>
      <xdr:spPr>
        <a:xfrm rot="16200000" flipH="1">
          <a:off x="12356035" y="365787"/>
          <a:ext cx="1299150" cy="1206042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838897</xdr:colOff>
      <xdr:row>4</xdr:row>
      <xdr:rowOff>480000</xdr:rowOff>
    </xdr:to>
    <xdr:sp macro="" textlink="">
      <xdr:nvSpPr>
        <xdr:cNvPr id="30" name="Right Triangle 29">
          <a:extLst>
            <a:ext uri="{FF2B5EF4-FFF2-40B4-BE49-F238E27FC236}">
              <a16:creationId xmlns:a16="http://schemas.microsoft.com/office/drawing/2014/main" id="{675FAB84-509E-4F30-A60C-CEDBF2F7241D}"/>
            </a:ext>
          </a:extLst>
        </xdr:cNvPr>
        <xdr:cNvSpPr/>
      </xdr:nvSpPr>
      <xdr:spPr>
        <a:xfrm rot="5400000">
          <a:off x="7932799" y="353951"/>
          <a:ext cx="1299150" cy="121989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</xdr:colOff>
      <xdr:row>7</xdr:row>
      <xdr:rowOff>48167</xdr:rowOff>
    </xdr:from>
    <xdr:to>
      <xdr:col>14</xdr:col>
      <xdr:colOff>382198</xdr:colOff>
      <xdr:row>7</xdr:row>
      <xdr:rowOff>553579</xdr:rowOff>
    </xdr:to>
    <xdr:sp macro="" textlink="">
      <xdr:nvSpPr>
        <xdr:cNvPr id="38" name="Right Brace 13">
          <a:extLst>
            <a:ext uri="{FF2B5EF4-FFF2-40B4-BE49-F238E27FC236}">
              <a16:creationId xmlns:a16="http://schemas.microsoft.com/office/drawing/2014/main" id="{4398183A-6BFC-4AE2-8231-0D8282B8196B}"/>
            </a:ext>
          </a:extLst>
        </xdr:cNvPr>
        <xdr:cNvSpPr/>
      </xdr:nvSpPr>
      <xdr:spPr>
        <a:xfrm rot="5400000" flipH="1" flipV="1">
          <a:off x="10539719" y="5053249"/>
          <a:ext cx="505412" cy="5639997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27480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65125" y="918945"/>
                <a:pt x="295275" y="1099939"/>
              </a:cubicBezTo>
              <a:cubicBezTo>
                <a:pt x="364429" y="1361193"/>
                <a:pt x="528309" y="1330529"/>
                <a:pt x="513564" y="1586407"/>
              </a:cubicBezTo>
              <a:cubicBezTo>
                <a:pt x="498819" y="1842285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27480" h="3162301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91438" y="311554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  <a:scene3d>
          <a:camera prst="orthographicFront"/>
          <a:lightRig rig="threePt" dir="t"/>
        </a:scene3d>
        <a:sp3d>
          <a:bevelT w="165100" prst="coolSlant"/>
        </a:sp3d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297195</xdr:colOff>
      <xdr:row>4</xdr:row>
      <xdr:rowOff>540324</xdr:rowOff>
    </xdr:from>
    <xdr:to>
      <xdr:col>14</xdr:col>
      <xdr:colOff>91455</xdr:colOff>
      <xdr:row>6</xdr:row>
      <xdr:rowOff>100269</xdr:rowOff>
    </xdr:to>
    <xdr:sp macro="" textlink="">
      <xdr:nvSpPr>
        <xdr:cNvPr id="39" name="Frame 38">
          <a:extLst>
            <a:ext uri="{FF2B5EF4-FFF2-40B4-BE49-F238E27FC236}">
              <a16:creationId xmlns:a16="http://schemas.microsoft.com/office/drawing/2014/main" id="{016615CE-92C7-43AD-84EB-869E62E46718}"/>
            </a:ext>
          </a:extLst>
        </xdr:cNvPr>
        <xdr:cNvSpPr/>
      </xdr:nvSpPr>
      <xdr:spPr>
        <a:xfrm>
          <a:off x="8269620" y="1673799"/>
          <a:ext cx="5052060" cy="3846195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138546</xdr:colOff>
      <xdr:row>2</xdr:row>
      <xdr:rowOff>69273</xdr:rowOff>
    </xdr:from>
    <xdr:to>
      <xdr:col>11</xdr:col>
      <xdr:colOff>837546</xdr:colOff>
      <xdr:row>4</xdr:row>
      <xdr:rowOff>335318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D34E188C-4DF0-41E5-BBC9-281F46D0A2E2}"/>
            </a:ext>
          </a:extLst>
        </xdr:cNvPr>
        <xdr:cNvSpPr/>
      </xdr:nvSpPr>
      <xdr:spPr>
        <a:xfrm>
          <a:off x="8110971" y="383598"/>
          <a:ext cx="1080000" cy="1085195"/>
        </a:xfrm>
        <a:prstGeom prst="ellipse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100851</xdr:colOff>
      <xdr:row>9</xdr:row>
      <xdr:rowOff>1</xdr:rowOff>
    </xdr:from>
    <xdr:to>
      <xdr:col>6</xdr:col>
      <xdr:colOff>380999</xdr:colOff>
      <xdr:row>49</xdr:row>
      <xdr:rowOff>168089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ABE84F9-7976-F2D9-5447-0CCF316436B5}"/>
            </a:ext>
          </a:extLst>
        </xdr:cNvPr>
        <xdr:cNvSpPr/>
      </xdr:nvSpPr>
      <xdr:spPr>
        <a:xfrm>
          <a:off x="1479175" y="8258736"/>
          <a:ext cx="5658971" cy="7720853"/>
        </a:xfrm>
        <a:prstGeom prst="rect">
          <a:avLst/>
        </a:prstGeom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254000" h="139700"/>
          <a:bevelB w="254000"/>
        </a:sp3d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>
          <a:sp3d extrusionH="57150">
            <a:bevelT w="38100" h="38100" prst="angle"/>
          </a:sp3d>
        </a:bodyPr>
        <a:lstStyle/>
        <a:p>
          <a:pPr lvl="2" algn="l"/>
          <a:r>
            <a:rPr lang="en-CA" sz="9600">
              <a:solidFill>
                <a:schemeClr val="accent4">
                  <a:lumMod val="75000"/>
                </a:schemeClr>
              </a:solidFill>
              <a:latin typeface="Germania One" panose="020B0700020200000000" pitchFamily="34" charset="0"/>
            </a:rPr>
            <a:t>Cards </a:t>
          </a:r>
        </a:p>
        <a:p>
          <a:pPr lvl="5" algn="l"/>
          <a:r>
            <a:rPr lang="en-CA" sz="4000" i="0">
              <a:solidFill>
                <a:schemeClr val="accent4">
                  <a:lumMod val="75000"/>
                </a:schemeClr>
              </a:solidFill>
              <a:latin typeface="Germania One" panose="020B0700020200000000" pitchFamily="34" charset="0"/>
            </a:rPr>
            <a:t>of the </a:t>
          </a:r>
        </a:p>
        <a:p>
          <a:pPr lvl="2" algn="ctr"/>
          <a:r>
            <a:rPr lang="en-CA" sz="9600">
              <a:solidFill>
                <a:schemeClr val="accent4">
                  <a:lumMod val="75000"/>
                </a:schemeClr>
              </a:solidFill>
              <a:latin typeface="Germania One" panose="020B0700020200000000" pitchFamily="34" charset="0"/>
            </a:rPr>
            <a:t>Depths</a:t>
          </a:r>
          <a:endParaRPr lang="en-CA" sz="8000">
            <a:solidFill>
              <a:schemeClr val="accent4">
                <a:lumMod val="75000"/>
              </a:schemeClr>
            </a:solidFill>
            <a:latin typeface="Germania One" panose="020B0700020200000000" pitchFamily="34" charset="0"/>
          </a:endParaRPr>
        </a:p>
      </xdr:txBody>
    </xdr:sp>
    <xdr:clientData/>
  </xdr:twoCellAnchor>
  <xdr:twoCellAnchor>
    <xdr:from>
      <xdr:col>10</xdr:col>
      <xdr:colOff>0</xdr:colOff>
      <xdr:row>8</xdr:row>
      <xdr:rowOff>112058</xdr:rowOff>
    </xdr:from>
    <xdr:to>
      <xdr:col>15</xdr:col>
      <xdr:colOff>11206</xdr:colOff>
      <xdr:row>49</xdr:row>
      <xdr:rowOff>156882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49186EE-D81A-4DAA-BF38-DEFAE56B8F3A}"/>
            </a:ext>
          </a:extLst>
        </xdr:cNvPr>
        <xdr:cNvSpPr/>
      </xdr:nvSpPr>
      <xdr:spPr>
        <a:xfrm>
          <a:off x="8740588" y="8247529"/>
          <a:ext cx="5658971" cy="7720853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254000" h="139700"/>
          <a:bevelB w="254000"/>
        </a:sp3d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>
          <a:sp3d extrusionH="57150">
            <a:bevelT w="38100" h="38100" prst="angle"/>
          </a:sp3d>
        </a:bodyPr>
        <a:lstStyle/>
        <a:p>
          <a:pPr lvl="2" algn="l"/>
          <a:r>
            <a:rPr lang="en-CA" sz="9600">
              <a:solidFill>
                <a:schemeClr val="tx2"/>
              </a:solidFill>
              <a:latin typeface="Germania One" panose="020B0700020200000000" pitchFamily="34" charset="0"/>
            </a:rPr>
            <a:t>Cards </a:t>
          </a:r>
        </a:p>
        <a:p>
          <a:pPr lvl="5" algn="l"/>
          <a:r>
            <a:rPr lang="en-CA" sz="4000">
              <a:solidFill>
                <a:schemeClr val="tx2"/>
              </a:solidFill>
              <a:latin typeface="Germania One" panose="020B0700020200000000" pitchFamily="34" charset="0"/>
            </a:rPr>
            <a:t>of the </a:t>
          </a:r>
        </a:p>
        <a:p>
          <a:pPr lvl="3" algn="l"/>
          <a:r>
            <a:rPr lang="en-CA" sz="9600">
              <a:solidFill>
                <a:schemeClr val="tx2"/>
              </a:solidFill>
              <a:latin typeface="Germania One" panose="020B0700020200000000" pitchFamily="34" charset="0"/>
            </a:rPr>
            <a:t>Depths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9">
  <rv s="0">
    <v>0</v>
    <v>4</v>
  </rv>
  <rv s="0">
    <v>1</v>
    <v>4</v>
  </rv>
  <rv s="0">
    <v>2</v>
    <v>4</v>
  </rv>
  <rv s="0">
    <v>3</v>
    <v>4</v>
  </rv>
  <rv s="0">
    <v>4</v>
    <v>4</v>
  </rv>
  <rv s="0">
    <v>5</v>
    <v>4</v>
  </rv>
  <rv s="0">
    <v>6</v>
    <v>4</v>
  </rv>
  <rv s="0">
    <v>7</v>
    <v>4</v>
  </rv>
  <rv s="0">
    <v>8</v>
    <v>4</v>
  </rv>
  <rv s="0">
    <v>9</v>
    <v>4</v>
  </rv>
  <rv s="0">
    <v>10</v>
    <v>4</v>
  </rv>
  <rv s="0">
    <v>11</v>
    <v>4</v>
  </rv>
  <rv s="0">
    <v>12</v>
    <v>4</v>
  </rv>
  <rv s="0">
    <v>13</v>
    <v>4</v>
  </rv>
  <rv s="0">
    <v>14</v>
    <v>4</v>
  </rv>
  <rv s="0">
    <v>15</v>
    <v>4</v>
  </rv>
  <rv s="0">
    <v>16</v>
    <v>4</v>
  </rv>
  <rv s="0">
    <v>17</v>
    <v>4</v>
  </rv>
  <rv s="0">
    <v>18</v>
    <v>5</v>
  </rv>
  <rv s="0">
    <v>19</v>
    <v>5</v>
  </rv>
  <rv s="0">
    <v>20</v>
    <v>5</v>
  </rv>
  <rv s="0">
    <v>21</v>
    <v>5</v>
  </rv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38DA-8BFE-47CB-858D-5CAD0149FCE7}">
  <sheetPr>
    <tabColor theme="7"/>
  </sheetPr>
  <dimension ref="B1:X30"/>
  <sheetViews>
    <sheetView showGridLines="0" topLeftCell="A23" zoomScaleNormal="100" workbookViewId="0">
      <selection activeCell="M28" sqref="M28"/>
    </sheetView>
  </sheetViews>
  <sheetFormatPr defaultRowHeight="15" x14ac:dyDescent="0.25"/>
  <cols>
    <col min="2" max="2" width="4" customWidth="1"/>
    <col min="3" max="3" width="10.85546875" customWidth="1"/>
    <col min="4" max="4" width="25.7109375" customWidth="1"/>
    <col min="5" max="5" width="10.85546875" customWidth="1"/>
    <col min="6" max="6" width="4" customWidth="1"/>
    <col min="8" max="8" width="4" customWidth="1"/>
    <col min="9" max="9" width="10.85546875" customWidth="1"/>
    <col min="10" max="10" width="25.7109375" customWidth="1"/>
    <col min="11" max="11" width="10.85546875" customWidth="1"/>
    <col min="12" max="12" width="4" customWidth="1"/>
    <col min="14" max="14" width="4" customWidth="1"/>
    <col min="15" max="15" width="10.85546875" customWidth="1"/>
    <col min="16" max="16" width="25.7109375" customWidth="1"/>
    <col min="17" max="17" width="10.85546875" customWidth="1"/>
    <col min="18" max="18" width="4" customWidth="1"/>
    <col min="20" max="20" width="4" customWidth="1"/>
    <col min="21" max="21" width="10.85546875" customWidth="1"/>
    <col min="22" max="22" width="25.7109375" customWidth="1"/>
    <col min="23" max="23" width="10.85546875" customWidth="1"/>
    <col min="24" max="24" width="4" customWidth="1"/>
  </cols>
  <sheetData>
    <row r="1" spans="2:24" ht="15.75" thickBot="1" x14ac:dyDescent="0.3"/>
    <row r="2" spans="2:24" ht="12.75" customHeight="1" x14ac:dyDescent="0.25">
      <c r="B2" s="43"/>
      <c r="C2" s="44"/>
      <c r="D2" s="44"/>
      <c r="E2" s="44"/>
      <c r="F2" s="45"/>
      <c r="H2" s="55"/>
      <c r="I2" s="56"/>
      <c r="J2" s="56"/>
      <c r="K2" s="56"/>
      <c r="L2" s="57"/>
      <c r="N2" s="9"/>
      <c r="O2" s="10"/>
      <c r="P2" s="10"/>
      <c r="Q2" s="10"/>
      <c r="R2" s="67"/>
      <c r="T2" s="13"/>
      <c r="U2" s="14"/>
      <c r="V2" s="14"/>
      <c r="W2" s="14"/>
      <c r="X2" s="33"/>
    </row>
    <row r="3" spans="2:24" s="29" customFormat="1" ht="72" customHeight="1" x14ac:dyDescent="0.25">
      <c r="B3" s="46"/>
      <c r="C3" s="47"/>
      <c r="D3" s="47" t="str">
        <f>'Cards Src'!$A7</f>
        <v>FIREBALL</v>
      </c>
      <c r="E3" s="47"/>
      <c r="F3" s="48"/>
      <c r="H3" s="58"/>
      <c r="I3" s="59"/>
      <c r="J3" s="93" t="str">
        <f>'Cards Src'!A8</f>
        <v>FROST NOVA</v>
      </c>
      <c r="K3" s="59"/>
      <c r="L3" s="60"/>
      <c r="N3" s="68"/>
      <c r="O3" s="69"/>
      <c r="P3" s="70" t="str">
        <f>'Cards Src'!A9</f>
        <v>TIDAL WAVE</v>
      </c>
      <c r="Q3" s="69"/>
      <c r="R3" s="71"/>
      <c r="T3" s="34"/>
      <c r="U3" s="35"/>
      <c r="V3" s="41" t="str">
        <f>'Cards Src'!A10</f>
        <v>BRAMBLE SNARE</v>
      </c>
      <c r="W3" s="35"/>
      <c r="X3" s="36"/>
    </row>
    <row r="4" spans="2:24" ht="184.5" customHeight="1" x14ac:dyDescent="0.25">
      <c r="B4" s="49"/>
      <c r="C4" s="137" t="e" vm="1">
        <f>'Cards Src'!E7</f>
        <v>#VALUE!</v>
      </c>
      <c r="D4" s="137"/>
      <c r="E4" s="137"/>
      <c r="F4" s="50"/>
      <c r="H4" s="61"/>
      <c r="I4" s="142" t="e" vm="2">
        <f>'Cards Src'!E8</f>
        <v>#VALUE!</v>
      </c>
      <c r="J4" s="142"/>
      <c r="K4" s="142"/>
      <c r="L4" s="62"/>
      <c r="N4" s="124"/>
      <c r="O4" s="143" t="e" vm="3">
        <f>'Cards Src'!E9</f>
        <v>#VALUE!</v>
      </c>
      <c r="P4" s="143"/>
      <c r="Q4" s="143"/>
      <c r="R4" s="72"/>
      <c r="T4" s="15"/>
      <c r="U4" s="144" t="e" vm="4">
        <f xml:space="preserve"> 'Cards Src'!E10</f>
        <v>#VALUE!</v>
      </c>
      <c r="V4" s="144"/>
      <c r="W4" s="144"/>
      <c r="X4" s="37"/>
    </row>
    <row r="5" spans="2:24" ht="93" customHeight="1" x14ac:dyDescent="0.25">
      <c r="B5" s="49"/>
      <c r="C5" s="138" t="str">
        <f>'Cards Src'!$C7</f>
        <v>Deals damage on contact. Explodes against surfaces</v>
      </c>
      <c r="D5" s="138"/>
      <c r="E5" s="138"/>
      <c r="F5" s="51"/>
      <c r="H5" s="61"/>
      <c r="I5" s="139" t="str">
        <f>'Cards Src'!$C8</f>
        <v>Explodes on contact and freezes enemies. Frozen enemies take 1.5x damage</v>
      </c>
      <c r="J5" s="139"/>
      <c r="K5" s="139"/>
      <c r="L5" s="63"/>
      <c r="N5" s="11"/>
      <c r="O5" s="140" t="str">
        <f>'Cards Src'!C9</f>
        <v>Summons a wave that pushes back all enemies it hits, accumulating damage</v>
      </c>
      <c r="P5" s="140"/>
      <c r="Q5" s="140"/>
      <c r="R5" s="73"/>
      <c r="T5" s="15"/>
      <c r="U5" s="141" t="str">
        <f>'Cards Src'!C10</f>
        <v>Creates a trap area that slows + damages enemies as they move through it</v>
      </c>
      <c r="V5" s="141"/>
      <c r="W5" s="141"/>
      <c r="X5" s="38"/>
    </row>
    <row r="6" spans="2:24" ht="30" customHeight="1" thickBot="1" x14ac:dyDescent="0.3">
      <c r="B6" s="52"/>
      <c r="C6" s="53"/>
      <c r="D6" s="53"/>
      <c r="E6" s="53"/>
      <c r="F6" s="54"/>
      <c r="H6" s="64"/>
      <c r="I6" s="65"/>
      <c r="J6" s="65"/>
      <c r="K6" s="65"/>
      <c r="L6" s="66"/>
      <c r="N6" s="12"/>
      <c r="O6" s="74"/>
      <c r="P6" s="74"/>
      <c r="Q6" s="74"/>
      <c r="R6" s="75"/>
      <c r="T6" s="16"/>
      <c r="U6" s="39"/>
      <c r="V6" s="39"/>
      <c r="W6" s="39"/>
      <c r="X6" s="40"/>
    </row>
    <row r="7" spans="2:24" ht="30" customHeight="1" thickBot="1" x14ac:dyDescent="0.3"/>
    <row r="8" spans="2:24" ht="12.75" customHeight="1" x14ac:dyDescent="0.25">
      <c r="B8" s="17"/>
      <c r="C8" s="18"/>
      <c r="D8" s="18"/>
      <c r="E8" s="18"/>
      <c r="F8" s="125"/>
      <c r="H8" s="21"/>
      <c r="I8" s="22"/>
      <c r="J8" s="22"/>
      <c r="K8" s="22"/>
      <c r="L8" s="76"/>
      <c r="N8" s="25"/>
      <c r="O8" s="26"/>
      <c r="P8" s="26"/>
      <c r="Q8" s="26"/>
      <c r="R8" s="84"/>
      <c r="T8" s="17"/>
      <c r="U8" s="18"/>
      <c r="V8" s="18"/>
      <c r="W8" s="18"/>
      <c r="X8" s="125"/>
    </row>
    <row r="9" spans="2:24" s="29" customFormat="1" ht="72" customHeight="1" x14ac:dyDescent="0.25">
      <c r="B9" s="126"/>
      <c r="C9" s="127"/>
      <c r="D9" s="128" t="str">
        <f>'Cards Src'!$A11</f>
        <v>LIGHTNING BOLT</v>
      </c>
      <c r="E9" s="127"/>
      <c r="F9" s="129"/>
      <c r="H9" s="77"/>
      <c r="I9" s="78"/>
      <c r="J9" s="94" t="str">
        <f>'Cards Src'!A12</f>
        <v>BLACK HOLE</v>
      </c>
      <c r="K9" s="78"/>
      <c r="L9" s="79"/>
      <c r="N9" s="85"/>
      <c r="O9" s="86"/>
      <c r="P9" s="87" t="str">
        <f>'Cards Src'!A13</f>
        <v>ASTRAL DAGGER</v>
      </c>
      <c r="Q9" s="86"/>
      <c r="R9" s="88"/>
      <c r="T9" s="126"/>
      <c r="U9" s="127"/>
      <c r="V9" s="128" t="str">
        <f>'Cards Src'!A14</f>
        <v>CHAIN LIGHTNING</v>
      </c>
      <c r="W9" s="127"/>
      <c r="X9" s="129"/>
    </row>
    <row r="10" spans="2:24" ht="184.5" customHeight="1" x14ac:dyDescent="0.25">
      <c r="B10" s="19"/>
      <c r="C10" s="145" t="e" vm="5">
        <f>'Cards Src'!E11</f>
        <v>#VALUE!</v>
      </c>
      <c r="D10" s="145"/>
      <c r="E10" s="145"/>
      <c r="F10" s="134"/>
      <c r="H10" s="23"/>
      <c r="I10" s="149" t="e" vm="6">
        <f>'Cards Src'!E12</f>
        <v>#VALUE!</v>
      </c>
      <c r="J10" s="149"/>
      <c r="K10" s="149"/>
      <c r="L10" s="80"/>
      <c r="N10" s="27"/>
      <c r="O10" s="150" t="e" vm="7">
        <f>'Cards Src'!E13</f>
        <v>#VALUE!</v>
      </c>
      <c r="P10" s="150"/>
      <c r="Q10" s="150"/>
      <c r="R10" s="89"/>
      <c r="T10" s="19"/>
      <c r="U10" s="145" t="e" vm="8">
        <f>'Cards Src'!E14</f>
        <v>#VALUE!</v>
      </c>
      <c r="V10" s="145"/>
      <c r="W10" s="145"/>
      <c r="X10" s="130"/>
    </row>
    <row r="11" spans="2:24" ht="93" customHeight="1" x14ac:dyDescent="0.25">
      <c r="B11" s="19"/>
      <c r="C11" s="146" t="str">
        <f>'Cards Src'!$C11</f>
        <v>Casts a bolt of lightning</v>
      </c>
      <c r="D11" s="146"/>
      <c r="E11" s="146"/>
      <c r="F11" s="131"/>
      <c r="H11" s="23"/>
      <c r="I11" s="147" t="str">
        <f>'Cards Src'!$C12</f>
        <v>Vacuums in nearby enemies</v>
      </c>
      <c r="J11" s="147"/>
      <c r="K11" s="147"/>
      <c r="L11" s="81"/>
      <c r="N11" s="27"/>
      <c r="O11" s="148" t="str">
        <f>'Cards Src'!C13</f>
        <v>Flies to the nearest enemy in vision</v>
      </c>
      <c r="P11" s="148"/>
      <c r="Q11" s="148"/>
      <c r="R11" s="90"/>
      <c r="T11" s="19"/>
      <c r="U11" s="146" t="str">
        <f>'Cards Src'!C14</f>
        <v>Casts a tracking bolt of lightning that can chain to close enemies</v>
      </c>
      <c r="V11" s="146"/>
      <c r="W11" s="146"/>
      <c r="X11" s="131"/>
    </row>
    <row r="12" spans="2:24" ht="30" customHeight="1" thickBot="1" x14ac:dyDescent="0.3">
      <c r="B12" s="20"/>
      <c r="C12" s="132"/>
      <c r="D12" s="132"/>
      <c r="E12" s="132"/>
      <c r="F12" s="133"/>
      <c r="H12" s="24"/>
      <c r="I12" s="82"/>
      <c r="J12" s="82"/>
      <c r="K12" s="82"/>
      <c r="L12" s="83"/>
      <c r="N12" s="28"/>
      <c r="O12" s="91"/>
      <c r="P12" s="91"/>
      <c r="Q12" s="91"/>
      <c r="R12" s="92"/>
      <c r="T12" s="20"/>
      <c r="U12" s="132"/>
      <c r="V12" s="132"/>
      <c r="W12" s="132"/>
      <c r="X12" s="133"/>
    </row>
    <row r="13" spans="2:24" ht="30" customHeight="1" thickBot="1" x14ac:dyDescent="0.3"/>
    <row r="14" spans="2:24" ht="12.75" customHeight="1" x14ac:dyDescent="0.25">
      <c r="B14" s="25"/>
      <c r="C14" s="26"/>
      <c r="D14" s="26"/>
      <c r="E14" s="26"/>
      <c r="F14" s="84"/>
      <c r="H14" s="108"/>
      <c r="I14" s="109"/>
      <c r="J14" s="109"/>
      <c r="K14" s="109"/>
      <c r="L14" s="110"/>
      <c r="N14" s="108"/>
      <c r="O14" s="109"/>
      <c r="P14" s="109"/>
      <c r="Q14" s="109"/>
      <c r="R14" s="110"/>
      <c r="T14" s="108"/>
      <c r="U14" s="109"/>
      <c r="V14" s="109"/>
      <c r="W14" s="109"/>
      <c r="X14" s="110"/>
    </row>
    <row r="15" spans="2:24" s="29" customFormat="1" ht="72" customHeight="1" x14ac:dyDescent="0.25">
      <c r="B15" s="85"/>
      <c r="C15" s="86"/>
      <c r="D15" s="87" t="str">
        <f>'Cards Src'!$A15</f>
        <v>DIVINE JUDGEMENT</v>
      </c>
      <c r="E15" s="86"/>
      <c r="F15" s="88"/>
      <c r="H15" s="111"/>
      <c r="I15" s="112"/>
      <c r="J15" s="113" t="str">
        <f>'Cards Src'!A16</f>
        <v>HASTE</v>
      </c>
      <c r="K15" s="112"/>
      <c r="L15" s="114"/>
      <c r="N15" s="111"/>
      <c r="O15" s="112"/>
      <c r="P15" s="113" t="str">
        <f>'Cards Src'!A17</f>
        <v>HINDER</v>
      </c>
      <c r="Q15" s="112"/>
      <c r="R15" s="114"/>
      <c r="T15" s="111"/>
      <c r="U15" s="112"/>
      <c r="V15" s="122" t="str">
        <f>'Cards Src'!A18</f>
        <v>MULLIGAN</v>
      </c>
      <c r="W15" s="112"/>
      <c r="X15" s="114"/>
    </row>
    <row r="16" spans="2:24" ht="184.5" customHeight="1" x14ac:dyDescent="0.25">
      <c r="B16" s="27"/>
      <c r="C16" s="150" t="e" vm="9">
        <f>'Cards Src'!E15</f>
        <v>#VALUE!</v>
      </c>
      <c r="D16" s="150"/>
      <c r="E16" s="150"/>
      <c r="F16" s="89"/>
      <c r="H16" s="115"/>
      <c r="I16" s="153" t="e" vm="10">
        <f>'Cards Src'!E16</f>
        <v>#VALUE!</v>
      </c>
      <c r="J16" s="153"/>
      <c r="K16" s="153"/>
      <c r="L16" s="116"/>
      <c r="N16" s="115"/>
      <c r="O16" s="154" t="e" vm="11">
        <f>'Cards Src'!E17</f>
        <v>#VALUE!</v>
      </c>
      <c r="P16" s="154"/>
      <c r="Q16" s="154"/>
      <c r="R16" s="116"/>
      <c r="T16" s="115"/>
      <c r="U16" s="154" t="e" vm="12">
        <f xml:space="preserve"> 'Cards Src'!E18</f>
        <v>#VALUE!</v>
      </c>
      <c r="V16" s="154"/>
      <c r="W16" s="154"/>
      <c r="X16" s="116"/>
    </row>
    <row r="17" spans="2:24" ht="93" customHeight="1" x14ac:dyDescent="0.25">
      <c r="B17" s="27"/>
      <c r="C17" s="151" t="str">
        <f>'Cards Src'!$C15</f>
        <v>Creates an area on the ground that damages to enemies within it. Mark any enemy to deal damage to the enemy proportional to the time spent once finishes</v>
      </c>
      <c r="D17" s="151"/>
      <c r="E17" s="151"/>
      <c r="F17" s="90"/>
      <c r="H17" s="115"/>
      <c r="I17" s="152" t="str">
        <f>'Cards Src'!$C16</f>
        <v>Increases player movement speed for a set duration</v>
      </c>
      <c r="J17" s="152"/>
      <c r="K17" s="152"/>
      <c r="L17" s="118"/>
      <c r="N17" s="115"/>
      <c r="O17" s="152" t="str">
        <f>'Cards Src'!C17</f>
        <v>Enemies are temporarily slowed on hit for a set duration.</v>
      </c>
      <c r="P17" s="152"/>
      <c r="Q17" s="152"/>
      <c r="R17" s="118"/>
      <c r="T17" s="115"/>
      <c r="U17" s="152" t="str">
        <f>'Cards Src'!C18</f>
        <v>Randomly swap two cards in the current hand with cards in the deck</v>
      </c>
      <c r="V17" s="152"/>
      <c r="W17" s="152"/>
      <c r="X17" s="118"/>
    </row>
    <row r="18" spans="2:24" ht="30" customHeight="1" thickBot="1" x14ac:dyDescent="0.3">
      <c r="B18" s="28"/>
      <c r="C18" s="91"/>
      <c r="D18" s="91"/>
      <c r="E18" s="91"/>
      <c r="F18" s="92"/>
      <c r="H18" s="119"/>
      <c r="I18" s="120"/>
      <c r="J18" s="120"/>
      <c r="K18" s="120"/>
      <c r="L18" s="121"/>
      <c r="N18" s="119"/>
      <c r="O18" s="120"/>
      <c r="P18" s="120"/>
      <c r="Q18" s="120"/>
      <c r="R18" s="121"/>
      <c r="T18" s="119"/>
      <c r="U18" s="120"/>
      <c r="V18" s="120"/>
      <c r="W18" s="120"/>
      <c r="X18" s="121"/>
    </row>
    <row r="19" spans="2:24" ht="30" customHeight="1" thickBot="1" x14ac:dyDescent="0.3"/>
    <row r="20" spans="2:24" ht="12.75" customHeight="1" x14ac:dyDescent="0.25">
      <c r="B20" s="108"/>
      <c r="C20" s="109"/>
      <c r="D20" s="109"/>
      <c r="E20" s="109"/>
      <c r="F20" s="110"/>
      <c r="H20" s="108"/>
      <c r="I20" s="109"/>
      <c r="J20" s="109"/>
      <c r="K20" s="109"/>
      <c r="L20" s="110"/>
      <c r="N20" s="108"/>
      <c r="O20" s="109"/>
      <c r="P20" s="109"/>
      <c r="Q20" s="109"/>
      <c r="R20" s="110"/>
      <c r="T20" s="108"/>
      <c r="U20" s="109"/>
      <c r="V20" s="109"/>
      <c r="W20" s="109"/>
      <c r="X20" s="110"/>
    </row>
    <row r="21" spans="2:24" s="29" customFormat="1" ht="72" customHeight="1" x14ac:dyDescent="0.25">
      <c r="B21" s="111"/>
      <c r="C21" s="112"/>
      <c r="D21" s="117" t="str">
        <f>'Cards Src'!$A19</f>
        <v>BUT WAIT, THERE'S MORE</v>
      </c>
      <c r="E21" s="112"/>
      <c r="F21" s="114"/>
      <c r="H21" s="111"/>
      <c r="I21" s="112"/>
      <c r="J21" s="123" t="str">
        <f>'Cards Src'!A20</f>
        <v>MANA SHIELD</v>
      </c>
      <c r="K21" s="112"/>
      <c r="L21" s="114"/>
      <c r="N21" s="111"/>
      <c r="O21" s="112"/>
      <c r="P21" s="123" t="str">
        <f>'Cards Src'!A21</f>
        <v>RUNAWAY BULL</v>
      </c>
      <c r="Q21" s="112"/>
      <c r="R21" s="114"/>
      <c r="T21" s="111"/>
      <c r="U21" s="112"/>
      <c r="V21" s="136" t="str">
        <f>'Cards Src'!A22</f>
        <v>HOLY BLADE</v>
      </c>
      <c r="W21" s="112"/>
      <c r="X21" s="114"/>
    </row>
    <row r="22" spans="2:24" ht="184.5" customHeight="1" x14ac:dyDescent="0.25">
      <c r="B22" s="115"/>
      <c r="C22" s="154" t="e" vm="13">
        <f>'Cards Src'!E19</f>
        <v>#VALUE!</v>
      </c>
      <c r="D22" s="154"/>
      <c r="E22" s="154"/>
      <c r="F22" s="116"/>
      <c r="H22" s="115"/>
      <c r="I22" s="154" t="e" vm="14">
        <f>'Cards Src'!E20</f>
        <v>#VALUE!</v>
      </c>
      <c r="J22" s="154"/>
      <c r="K22" s="154"/>
      <c r="L22" s="116"/>
      <c r="N22" s="115"/>
      <c r="O22" s="154" t="e" vm="15">
        <f>'Cards Src'!E21</f>
        <v>#VALUE!</v>
      </c>
      <c r="P22" s="154"/>
      <c r="Q22" s="154"/>
      <c r="R22" s="116"/>
      <c r="T22" s="115"/>
      <c r="U22" s="154" t="e" vm="16">
        <f xml:space="preserve"> 'Cards Src'!E22</f>
        <v>#VALUE!</v>
      </c>
      <c r="V22" s="154"/>
      <c r="W22" s="154"/>
      <c r="X22" s="116"/>
    </row>
    <row r="23" spans="2:24" ht="93" customHeight="1" x14ac:dyDescent="0.25">
      <c r="B23" s="115"/>
      <c r="C23" s="152" t="str">
        <f>'Cards Src'!$C19</f>
        <v>Randomly shuffle two cards from the discard pile back into the deck</v>
      </c>
      <c r="D23" s="152"/>
      <c r="E23" s="152"/>
      <c r="F23" s="118"/>
      <c r="H23" s="115"/>
      <c r="I23" s="152" t="str">
        <f>'Cards Src'!$C20</f>
        <v>Negate x number of hits</v>
      </c>
      <c r="J23" s="152"/>
      <c r="K23" s="152"/>
      <c r="L23" s="118"/>
      <c r="N23" s="115"/>
      <c r="O23" s="155" t="str">
        <f>'Cards Src'!C21</f>
        <v>For a temporary amount of time, causes the player's dashes to push enemies away slightly and inflict damage</v>
      </c>
      <c r="P23" s="155"/>
      <c r="Q23" s="155"/>
      <c r="R23" s="118"/>
      <c r="T23" s="115"/>
      <c r="U23" s="152" t="str">
        <f>'Cards Src'!C22</f>
        <v>Increase damage of your weapon by x for a certain amount of time</v>
      </c>
      <c r="V23" s="152"/>
      <c r="W23" s="152"/>
      <c r="X23" s="118"/>
    </row>
    <row r="24" spans="2:24" ht="30" customHeight="1" thickBot="1" x14ac:dyDescent="0.3">
      <c r="B24" s="119"/>
      <c r="C24" s="120"/>
      <c r="D24" s="120"/>
      <c r="E24" s="120"/>
      <c r="F24" s="121"/>
      <c r="H24" s="119"/>
      <c r="I24" s="120"/>
      <c r="J24" s="120"/>
      <c r="K24" s="120"/>
      <c r="L24" s="121"/>
      <c r="N24" s="119"/>
      <c r="O24" s="120"/>
      <c r="P24" s="120"/>
      <c r="Q24" s="120"/>
      <c r="R24" s="121"/>
      <c r="T24" s="119"/>
      <c r="U24" s="120"/>
      <c r="V24" s="120"/>
      <c r="W24" s="120"/>
      <c r="X24" s="121"/>
    </row>
    <row r="25" spans="2:24" ht="30" customHeight="1" thickBot="1" x14ac:dyDescent="0.3"/>
    <row r="26" spans="2:24" ht="12.75" customHeight="1" x14ac:dyDescent="0.25">
      <c r="B26" s="108"/>
      <c r="C26" s="109"/>
      <c r="D26" s="109"/>
      <c r="E26" s="109"/>
      <c r="F26" s="110"/>
      <c r="H26" s="108"/>
      <c r="I26" s="109"/>
      <c r="J26" s="109"/>
      <c r="K26" s="109"/>
      <c r="L26" s="110"/>
      <c r="N26" s="95"/>
      <c r="O26" s="96"/>
      <c r="P26" s="96"/>
      <c r="Q26" s="96"/>
      <c r="R26" s="97"/>
      <c r="T26" s="95"/>
      <c r="U26" s="96"/>
      <c r="V26" s="96"/>
      <c r="W26" s="96"/>
      <c r="X26" s="97"/>
    </row>
    <row r="27" spans="2:24" s="29" customFormat="1" ht="72" customHeight="1" x14ac:dyDescent="0.25">
      <c r="B27" s="111"/>
      <c r="C27" s="112"/>
      <c r="D27" s="113" t="str">
        <f>'Cards Src'!$A23</f>
        <v>RECALL</v>
      </c>
      <c r="E27" s="112"/>
      <c r="F27" s="114"/>
      <c r="H27" s="111"/>
      <c r="I27" s="112"/>
      <c r="J27" s="113" t="str">
        <f>'Cards Src'!A24</f>
        <v>GREED</v>
      </c>
      <c r="K27" s="112"/>
      <c r="L27" s="114"/>
      <c r="N27" s="98"/>
      <c r="O27" s="99"/>
      <c r="P27" s="100">
        <f>'Cards Src'!A25</f>
        <v>0</v>
      </c>
      <c r="Q27" s="99"/>
      <c r="R27" s="101"/>
      <c r="T27" s="98"/>
      <c r="U27" s="99"/>
      <c r="V27" s="100">
        <f>'Cards Src'!A26</f>
        <v>0</v>
      </c>
      <c r="W27" s="99"/>
      <c r="X27" s="101"/>
    </row>
    <row r="28" spans="2:24" ht="184.5" customHeight="1" x14ac:dyDescent="0.25">
      <c r="B28" s="115"/>
      <c r="C28" s="154" t="e" vm="17">
        <f>'Cards Src'!E23</f>
        <v>#VALUE!</v>
      </c>
      <c r="D28" s="154"/>
      <c r="E28" s="154"/>
      <c r="F28" s="116"/>
      <c r="H28" s="115"/>
      <c r="I28" s="154" t="e" vm="18">
        <f>'Cards Src'!E24</f>
        <v>#VALUE!</v>
      </c>
      <c r="J28" s="154"/>
      <c r="K28" s="154"/>
      <c r="L28" s="116"/>
      <c r="N28" s="102"/>
      <c r="O28" s="157">
        <f>'Cards Src'!E25</f>
        <v>0</v>
      </c>
      <c r="P28" s="157"/>
      <c r="Q28" s="157"/>
      <c r="R28" s="103"/>
      <c r="T28" s="102"/>
      <c r="U28" s="157">
        <f xml:space="preserve"> 'Cards Src'!E26</f>
        <v>0</v>
      </c>
      <c r="V28" s="157"/>
      <c r="W28" s="157"/>
      <c r="X28" s="103"/>
    </row>
    <row r="29" spans="2:24" ht="93" customHeight="1" x14ac:dyDescent="0.25">
      <c r="B29" s="115"/>
      <c r="C29" s="152" t="str">
        <f>'Cards Src'!$C23</f>
        <v>Recall last used card into deck</v>
      </c>
      <c r="D29" s="152"/>
      <c r="E29" s="152"/>
      <c r="F29" s="118"/>
      <c r="H29" s="115"/>
      <c r="I29" s="152" t="str">
        <f>'Cards Src'!$C24</f>
        <v>Draw 2 cards</v>
      </c>
      <c r="J29" s="152"/>
      <c r="K29" s="152"/>
      <c r="L29" s="118"/>
      <c r="N29" s="102"/>
      <c r="O29" s="156">
        <f>'Cards Src'!C25</f>
        <v>0</v>
      </c>
      <c r="P29" s="156"/>
      <c r="Q29" s="156"/>
      <c r="R29" s="104"/>
      <c r="T29" s="102"/>
      <c r="U29" s="156">
        <f>'Cards Src'!C26</f>
        <v>0</v>
      </c>
      <c r="V29" s="156"/>
      <c r="W29" s="156"/>
      <c r="X29" s="104"/>
    </row>
    <row r="30" spans="2:24" ht="30" customHeight="1" thickBot="1" x14ac:dyDescent="0.3">
      <c r="B30" s="119"/>
      <c r="C30" s="120"/>
      <c r="D30" s="120"/>
      <c r="E30" s="120"/>
      <c r="F30" s="121"/>
      <c r="H30" s="119"/>
      <c r="I30" s="120"/>
      <c r="J30" s="120"/>
      <c r="K30" s="120"/>
      <c r="L30" s="121"/>
      <c r="N30" s="105"/>
      <c r="O30" s="106"/>
      <c r="P30" s="106"/>
      <c r="Q30" s="106"/>
      <c r="R30" s="107"/>
      <c r="T30" s="105"/>
      <c r="U30" s="106"/>
      <c r="V30" s="106"/>
      <c r="W30" s="106"/>
      <c r="X30" s="107"/>
    </row>
  </sheetData>
  <mergeCells count="40">
    <mergeCell ref="C28:E28"/>
    <mergeCell ref="C29:E29"/>
    <mergeCell ref="I29:K29"/>
    <mergeCell ref="O29:Q29"/>
    <mergeCell ref="U29:W29"/>
    <mergeCell ref="I28:K28"/>
    <mergeCell ref="O28:Q28"/>
    <mergeCell ref="U28:W28"/>
    <mergeCell ref="C22:E22"/>
    <mergeCell ref="C23:E23"/>
    <mergeCell ref="I23:K23"/>
    <mergeCell ref="O23:Q23"/>
    <mergeCell ref="U23:W23"/>
    <mergeCell ref="I22:K22"/>
    <mergeCell ref="O22:Q22"/>
    <mergeCell ref="U22:W22"/>
    <mergeCell ref="C16:E16"/>
    <mergeCell ref="C17:E17"/>
    <mergeCell ref="I17:K17"/>
    <mergeCell ref="O17:Q17"/>
    <mergeCell ref="U17:W17"/>
    <mergeCell ref="I16:K16"/>
    <mergeCell ref="O16:Q16"/>
    <mergeCell ref="U16:W16"/>
    <mergeCell ref="C10:E10"/>
    <mergeCell ref="C11:E11"/>
    <mergeCell ref="I11:K11"/>
    <mergeCell ref="O11:Q11"/>
    <mergeCell ref="U11:W11"/>
    <mergeCell ref="I10:K10"/>
    <mergeCell ref="O10:Q10"/>
    <mergeCell ref="U10:W10"/>
    <mergeCell ref="C4:E4"/>
    <mergeCell ref="C5:E5"/>
    <mergeCell ref="I5:K5"/>
    <mergeCell ref="O5:Q5"/>
    <mergeCell ref="U5:W5"/>
    <mergeCell ref="I4:K4"/>
    <mergeCell ref="O4:Q4"/>
    <mergeCell ref="U4:W4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5721-EBD9-4F1E-B70A-78151D63ED79}">
  <sheetPr>
    <tabColor theme="4" tint="0.79998168889431442"/>
  </sheetPr>
  <dimension ref="A1:F29"/>
  <sheetViews>
    <sheetView showGridLines="0" tabSelected="1" topLeftCell="A24" zoomScaleNormal="100" workbookViewId="0">
      <selection activeCell="C25" sqref="C25"/>
    </sheetView>
  </sheetViews>
  <sheetFormatPr defaultRowHeight="15" x14ac:dyDescent="0.25"/>
  <cols>
    <col min="1" max="1" width="55.42578125" customWidth="1"/>
    <col min="2" max="2" width="10.7109375" customWidth="1"/>
    <col min="3" max="3" width="55.42578125" style="173" customWidth="1"/>
    <col min="4" max="4" width="10.7109375" style="169" customWidth="1"/>
    <col min="5" max="5" width="47.42578125" customWidth="1"/>
  </cols>
  <sheetData>
    <row r="1" spans="1:6" ht="30" customHeight="1" x14ac:dyDescent="0.25">
      <c r="A1" s="29" t="s">
        <v>54</v>
      </c>
      <c r="C1" s="172"/>
      <c r="F1" s="29"/>
    </row>
    <row r="2" spans="1:6" ht="393" customHeight="1" x14ac:dyDescent="0.25">
      <c r="A2" t="e" vm="19">
        <v>#VALUE!</v>
      </c>
      <c r="C2" s="173" t="e" vm="20">
        <v>#VALUE!</v>
      </c>
    </row>
    <row r="3" spans="1:6" ht="15" customHeight="1" x14ac:dyDescent="0.25"/>
    <row r="4" spans="1:6" ht="393" customHeight="1" x14ac:dyDescent="0.25">
      <c r="A4" s="170" t="e" vm="21">
        <v>#VALUE!</v>
      </c>
      <c r="C4" s="174" t="e" vm="22">
        <v>#VALUE!</v>
      </c>
    </row>
    <row r="5" spans="1:6" s="30" customFormat="1" ht="15" customHeight="1" x14ac:dyDescent="0.25">
      <c r="C5" s="175"/>
      <c r="D5" s="171"/>
    </row>
    <row r="6" spans="1:6" s="32" customFormat="1" ht="31.5" customHeight="1" x14ac:dyDescent="0.25">
      <c r="A6" s="31" t="s">
        <v>1</v>
      </c>
      <c r="B6" s="31" t="s">
        <v>3</v>
      </c>
      <c r="C6" s="176" t="s">
        <v>2</v>
      </c>
      <c r="D6" s="42" t="s">
        <v>5</v>
      </c>
      <c r="E6" s="135" t="s">
        <v>17</v>
      </c>
    </row>
    <row r="7" spans="1:6" s="32" customFormat="1" ht="186" customHeight="1" x14ac:dyDescent="0.25">
      <c r="A7" s="31" t="s">
        <v>0</v>
      </c>
      <c r="B7" s="31" t="s">
        <v>4</v>
      </c>
      <c r="C7" s="177" t="s">
        <v>19</v>
      </c>
      <c r="D7" s="42" t="s">
        <v>6</v>
      </c>
      <c r="E7" s="32" t="e" vm="23">
        <v>#VALUE!</v>
      </c>
    </row>
    <row r="8" spans="1:6" s="42" customFormat="1" ht="186" customHeight="1" x14ac:dyDescent="0.25">
      <c r="A8" s="42" t="s">
        <v>18</v>
      </c>
      <c r="B8" s="42" t="s">
        <v>4</v>
      </c>
      <c r="C8" s="177" t="s">
        <v>20</v>
      </c>
      <c r="D8" s="42" t="s">
        <v>21</v>
      </c>
      <c r="E8" s="42" t="e" vm="24">
        <v>#VALUE!</v>
      </c>
    </row>
    <row r="9" spans="1:6" s="42" customFormat="1" ht="186" customHeight="1" x14ac:dyDescent="0.25">
      <c r="A9" s="42" t="s">
        <v>13</v>
      </c>
      <c r="B9" s="42" t="s">
        <v>4</v>
      </c>
      <c r="C9" s="177" t="s">
        <v>22</v>
      </c>
      <c r="D9" s="42" t="s">
        <v>8</v>
      </c>
      <c r="E9" s="42" t="e" vm="25">
        <v>#VALUE!</v>
      </c>
    </row>
    <row r="10" spans="1:6" s="42" customFormat="1" ht="186" customHeight="1" x14ac:dyDescent="0.25">
      <c r="A10" s="42" t="s">
        <v>14</v>
      </c>
      <c r="B10" s="42" t="s">
        <v>4</v>
      </c>
      <c r="C10" s="177" t="s">
        <v>24</v>
      </c>
      <c r="D10" s="42" t="s">
        <v>9</v>
      </c>
      <c r="E10" s="42" t="e" vm="26">
        <v>#VALUE!</v>
      </c>
    </row>
    <row r="11" spans="1:6" s="42" customFormat="1" ht="186" customHeight="1" x14ac:dyDescent="0.25">
      <c r="A11" s="42" t="s">
        <v>16</v>
      </c>
      <c r="B11" s="42" t="s">
        <v>4</v>
      </c>
      <c r="C11" s="177" t="s">
        <v>28</v>
      </c>
      <c r="D11" s="42" t="s">
        <v>7</v>
      </c>
      <c r="E11" s="42" t="e" vm="27">
        <v>#VALUE!</v>
      </c>
    </row>
    <row r="12" spans="1:6" s="42" customFormat="1" ht="186" customHeight="1" x14ac:dyDescent="0.25">
      <c r="A12" s="42" t="s">
        <v>25</v>
      </c>
      <c r="B12" s="42" t="s">
        <v>4</v>
      </c>
      <c r="C12" s="177" t="s">
        <v>29</v>
      </c>
      <c r="D12" s="42" t="s">
        <v>10</v>
      </c>
      <c r="E12" s="42" t="e" vm="28">
        <v>#VALUE!</v>
      </c>
    </row>
    <row r="13" spans="1:6" s="42" customFormat="1" ht="186" customHeight="1" x14ac:dyDescent="0.25">
      <c r="A13" s="42" t="s">
        <v>15</v>
      </c>
      <c r="B13" s="42" t="s">
        <v>4</v>
      </c>
      <c r="C13" s="177" t="s">
        <v>23</v>
      </c>
      <c r="D13" s="42" t="s">
        <v>11</v>
      </c>
      <c r="E13" s="42" t="e" vm="29">
        <v>#VALUE!</v>
      </c>
    </row>
    <row r="14" spans="1:6" s="42" customFormat="1" ht="186" customHeight="1" x14ac:dyDescent="0.25">
      <c r="A14" s="42" t="s">
        <v>26</v>
      </c>
      <c r="B14" s="42" t="s">
        <v>4</v>
      </c>
      <c r="C14" s="177" t="s">
        <v>30</v>
      </c>
      <c r="D14" s="42" t="s">
        <v>7</v>
      </c>
      <c r="E14" s="42" t="e" vm="30">
        <v>#VALUE!</v>
      </c>
    </row>
    <row r="15" spans="1:6" s="42" customFormat="1" ht="186" customHeight="1" x14ac:dyDescent="0.25">
      <c r="A15" s="42" t="s">
        <v>27</v>
      </c>
      <c r="B15" s="42" t="s">
        <v>4</v>
      </c>
      <c r="C15" s="177" t="s">
        <v>31</v>
      </c>
      <c r="D15" s="42" t="s">
        <v>11</v>
      </c>
      <c r="E15" s="42" t="e" vm="31">
        <v>#VALUE!</v>
      </c>
    </row>
    <row r="16" spans="1:6" s="42" customFormat="1" ht="186" customHeight="1" x14ac:dyDescent="0.25">
      <c r="A16" s="42" t="s">
        <v>47</v>
      </c>
      <c r="B16" s="42" t="s">
        <v>12</v>
      </c>
      <c r="C16" s="177" t="s">
        <v>38</v>
      </c>
      <c r="D16" s="42" t="s">
        <v>45</v>
      </c>
      <c r="E16" s="42" t="e" vm="32">
        <v>#VALUE!</v>
      </c>
    </row>
    <row r="17" spans="1:5" s="42" customFormat="1" ht="186" customHeight="1" x14ac:dyDescent="0.25">
      <c r="A17" s="42" t="s">
        <v>32</v>
      </c>
      <c r="B17" s="42" t="s">
        <v>12</v>
      </c>
      <c r="C17" s="177" t="s">
        <v>39</v>
      </c>
      <c r="D17" s="42" t="s">
        <v>45</v>
      </c>
      <c r="E17" s="42" t="e" vm="33">
        <v>#VALUE!</v>
      </c>
    </row>
    <row r="18" spans="1:5" s="42" customFormat="1" ht="186" customHeight="1" x14ac:dyDescent="0.25">
      <c r="A18" s="42" t="s">
        <v>33</v>
      </c>
      <c r="B18" s="42" t="s">
        <v>12</v>
      </c>
      <c r="C18" s="177" t="s">
        <v>40</v>
      </c>
      <c r="D18" s="42" t="s">
        <v>46</v>
      </c>
      <c r="E18" s="42" t="e" vm="34">
        <v>#VALUE!</v>
      </c>
    </row>
    <row r="19" spans="1:5" s="42" customFormat="1" ht="186" customHeight="1" x14ac:dyDescent="0.25">
      <c r="A19" s="42" t="s">
        <v>34</v>
      </c>
      <c r="B19" s="42" t="s">
        <v>12</v>
      </c>
      <c r="C19" s="177" t="s">
        <v>41</v>
      </c>
      <c r="D19" s="42" t="s">
        <v>46</v>
      </c>
      <c r="E19" s="42" t="e" vm="35">
        <v>#VALUE!</v>
      </c>
    </row>
    <row r="20" spans="1:5" s="42" customFormat="1" ht="186" customHeight="1" x14ac:dyDescent="0.25">
      <c r="A20" s="42" t="s">
        <v>35</v>
      </c>
      <c r="B20" s="42" t="s">
        <v>12</v>
      </c>
      <c r="C20" s="177" t="s">
        <v>42</v>
      </c>
      <c r="D20" s="42" t="s">
        <v>45</v>
      </c>
      <c r="E20" s="42" t="e" vm="36">
        <v>#VALUE!</v>
      </c>
    </row>
    <row r="21" spans="1:5" s="42" customFormat="1" ht="186" customHeight="1" x14ac:dyDescent="0.25">
      <c r="A21" s="42" t="s">
        <v>36</v>
      </c>
      <c r="B21" s="42" t="s">
        <v>12</v>
      </c>
      <c r="C21" s="177" t="s">
        <v>43</v>
      </c>
      <c r="D21" s="42" t="s">
        <v>45</v>
      </c>
      <c r="E21" s="42" t="e" vm="37">
        <v>#VALUE!</v>
      </c>
    </row>
    <row r="22" spans="1:5" s="42" customFormat="1" ht="186" customHeight="1" x14ac:dyDescent="0.25">
      <c r="A22" s="42" t="s">
        <v>37</v>
      </c>
      <c r="B22" s="42" t="s">
        <v>12</v>
      </c>
      <c r="C22" s="177" t="s">
        <v>44</v>
      </c>
      <c r="D22" s="42" t="s">
        <v>45</v>
      </c>
      <c r="E22" s="42" t="e" vm="38">
        <v>#VALUE!</v>
      </c>
    </row>
    <row r="23" spans="1:5" s="42" customFormat="1" ht="186" customHeight="1" x14ac:dyDescent="0.25">
      <c r="A23" s="42" t="s">
        <v>48</v>
      </c>
      <c r="B23" s="42" t="s">
        <v>12</v>
      </c>
      <c r="C23" s="177" t="s">
        <v>50</v>
      </c>
      <c r="D23" s="42" t="s">
        <v>46</v>
      </c>
      <c r="E23" s="42" t="e" vm="39">
        <v>#VALUE!</v>
      </c>
    </row>
    <row r="24" spans="1:5" s="42" customFormat="1" ht="186" customHeight="1" x14ac:dyDescent="0.25">
      <c r="A24" s="42" t="s">
        <v>49</v>
      </c>
      <c r="B24" s="42" t="s">
        <v>12</v>
      </c>
      <c r="C24" s="177" t="s">
        <v>51</v>
      </c>
      <c r="D24" s="42" t="s">
        <v>46</v>
      </c>
      <c r="E24" s="42" t="e" vm="40">
        <v>#VALUE!</v>
      </c>
    </row>
    <row r="25" spans="1:5" s="42" customFormat="1" ht="186" customHeight="1" x14ac:dyDescent="0.25">
      <c r="C25" s="177"/>
    </row>
    <row r="26" spans="1:5" s="42" customFormat="1" ht="186" customHeight="1" x14ac:dyDescent="0.25">
      <c r="C26" s="177"/>
    </row>
    <row r="27" spans="1:5" s="42" customFormat="1" ht="186" customHeight="1" x14ac:dyDescent="0.25">
      <c r="C27" s="177"/>
    </row>
    <row r="28" spans="1:5" s="42" customFormat="1" ht="186" customHeight="1" x14ac:dyDescent="0.25">
      <c r="C28" s="177"/>
    </row>
    <row r="29" spans="1:5" s="42" customFormat="1" ht="186" customHeight="1" x14ac:dyDescent="0.25">
      <c r="C29" s="17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D907-6D9A-41AB-B9D5-B42F77618D49}">
  <sheetPr>
    <tabColor theme="4" tint="0.59999389629810485"/>
  </sheetPr>
  <dimension ref="A2:J4"/>
  <sheetViews>
    <sheetView workbookViewId="0">
      <selection activeCell="A6" sqref="A6"/>
    </sheetView>
  </sheetViews>
  <sheetFormatPr defaultRowHeight="15" x14ac:dyDescent="0.25"/>
  <cols>
    <col min="1" max="28" width="15.42578125" customWidth="1"/>
  </cols>
  <sheetData>
    <row r="2" spans="1:10" ht="81" customHeight="1" x14ac:dyDescent="0.25">
      <c r="A2" s="29" t="s">
        <v>52</v>
      </c>
      <c r="B2" t="e" vm="41">
        <v>#VALUE!</v>
      </c>
      <c r="C2" t="e" vm="42">
        <v>#VALUE!</v>
      </c>
      <c r="D2" t="e" vm="43">
        <v>#VALUE!</v>
      </c>
      <c r="E2" t="e" vm="44">
        <v>#VALUE!</v>
      </c>
      <c r="F2" t="e" vm="45">
        <v>#VALUE!</v>
      </c>
      <c r="G2" t="e" vm="46">
        <v>#VALUE!</v>
      </c>
      <c r="H2" t="e" vm="47">
        <v>#VALUE!</v>
      </c>
      <c r="I2" t="e" vm="48">
        <v>#VALUE!</v>
      </c>
      <c r="J2" t="e" vm="49">
        <v>#VALUE!</v>
      </c>
    </row>
    <row r="4" spans="1:10" ht="81" customHeight="1" x14ac:dyDescent="0.25">
      <c r="A4" s="29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35AE-0575-4A87-BDE3-7C4C5B196C67}">
  <dimension ref="C2:O11"/>
  <sheetViews>
    <sheetView showGridLines="0" topLeftCell="A7" zoomScale="85" zoomScaleNormal="85" workbookViewId="0">
      <selection activeCell="I27" sqref="I27"/>
    </sheetView>
  </sheetViews>
  <sheetFormatPr defaultRowHeight="15" x14ac:dyDescent="0.25"/>
  <cols>
    <col min="1" max="1" width="20.7109375" customWidth="1"/>
    <col min="2" max="2" width="1.7109375" customWidth="1"/>
    <col min="3" max="3" width="5.7109375" customWidth="1"/>
    <col min="4" max="4" width="12.7109375" customWidth="1"/>
    <col min="5" max="5" width="47.7109375" customWidth="1"/>
    <col min="6" max="6" width="12.7109375" customWidth="1"/>
    <col min="7" max="7" width="5.7109375" customWidth="1"/>
    <col min="8" max="8" width="1.7109375" customWidth="1"/>
    <col min="9" max="9" width="20.7109375" customWidth="1"/>
    <col min="10" max="10" width="1.7109375" customWidth="1"/>
    <col min="11" max="11" width="5.7109375" customWidth="1"/>
    <col min="12" max="12" width="12.7109375" customWidth="1"/>
    <col min="13" max="13" width="47.7109375" customWidth="1"/>
    <col min="14" max="14" width="12.7109375" customWidth="1"/>
    <col min="15" max="15" width="5.7109375" customWidth="1"/>
    <col min="16" max="16" width="1.7109375" customWidth="1"/>
  </cols>
  <sheetData>
    <row r="2" spans="3:15" ht="10.15" customHeight="1" thickBot="1" x14ac:dyDescent="0.3"/>
    <row r="3" spans="3:15" ht="15" customHeight="1" x14ac:dyDescent="0.25">
      <c r="C3" s="1"/>
      <c r="D3" s="2"/>
      <c r="E3" s="163"/>
      <c r="F3" s="2"/>
      <c r="G3" s="3"/>
      <c r="K3" s="1"/>
      <c r="L3" s="2"/>
      <c r="M3" s="2"/>
      <c r="N3" s="2"/>
      <c r="O3" s="3"/>
    </row>
    <row r="4" spans="3:15" ht="49.9" customHeight="1" x14ac:dyDescent="0.25">
      <c r="C4" s="4"/>
      <c r="D4" s="158"/>
      <c r="E4" s="164"/>
      <c r="F4" s="158"/>
      <c r="G4" s="5"/>
      <c r="K4" s="4"/>
      <c r="L4" s="158"/>
      <c r="M4" s="8"/>
      <c r="N4" s="158"/>
      <c r="O4" s="5"/>
    </row>
    <row r="5" spans="3:15" ht="49.9" customHeight="1" x14ac:dyDescent="0.25">
      <c r="C5" s="4"/>
      <c r="D5" s="158"/>
      <c r="E5" s="164"/>
      <c r="F5" s="158"/>
      <c r="G5" s="5"/>
      <c r="K5" s="4"/>
      <c r="L5" s="158"/>
      <c r="M5" s="8"/>
      <c r="N5" s="158"/>
      <c r="O5" s="5"/>
    </row>
    <row r="6" spans="3:15" ht="288" customHeight="1" x14ac:dyDescent="0.45">
      <c r="C6" s="4"/>
      <c r="D6" s="160"/>
      <c r="E6" s="160"/>
      <c r="F6" s="160"/>
      <c r="G6" s="5"/>
      <c r="K6" s="4"/>
      <c r="L6" s="165"/>
      <c r="M6" s="166"/>
      <c r="N6" s="167"/>
      <c r="O6" s="5"/>
    </row>
    <row r="7" spans="3:15" ht="169.9" customHeight="1" x14ac:dyDescent="0.25">
      <c r="C7" s="4"/>
      <c r="D7" s="161"/>
      <c r="E7" s="161"/>
      <c r="F7" s="161"/>
      <c r="G7" s="162"/>
      <c r="K7" s="4"/>
      <c r="L7" s="168"/>
      <c r="M7" s="168"/>
      <c r="N7" s="168"/>
      <c r="O7" s="5"/>
    </row>
    <row r="8" spans="3:15" ht="45" customHeight="1" thickBot="1" x14ac:dyDescent="0.3">
      <c r="C8" s="6"/>
      <c r="D8" s="159"/>
      <c r="E8" s="159"/>
      <c r="F8" s="159"/>
      <c r="G8" s="7"/>
      <c r="K8" s="6"/>
      <c r="L8" s="159"/>
      <c r="M8" s="159"/>
      <c r="N8" s="159"/>
      <c r="O8" s="7"/>
    </row>
    <row r="9" spans="3:15" ht="10.15" customHeight="1" x14ac:dyDescent="0.25"/>
    <row r="11" spans="3:15" ht="10.15" customHeight="1" x14ac:dyDescent="0.25"/>
  </sheetData>
  <mergeCells count="11">
    <mergeCell ref="L4:L5"/>
    <mergeCell ref="N4:N5"/>
    <mergeCell ref="L6:N6"/>
    <mergeCell ref="L7:N7"/>
    <mergeCell ref="L8:N8"/>
    <mergeCell ref="D4:D5"/>
    <mergeCell ref="D8:F8"/>
    <mergeCell ref="D6:F6"/>
    <mergeCell ref="D7:G7"/>
    <mergeCell ref="F4:F5"/>
    <mergeCell ref="E3:E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Cards</vt:lpstr>
      <vt:lpstr>Cards Src</vt:lpstr>
      <vt:lpstr>Icons Src</vt:lpstr>
      <vt:lpstr>Borders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Croll</dc:creator>
  <cp:lastModifiedBy>Will Croll</cp:lastModifiedBy>
  <dcterms:created xsi:type="dcterms:W3CDTF">2015-06-05T18:17:20Z</dcterms:created>
  <dcterms:modified xsi:type="dcterms:W3CDTF">2026-03-03T01:44:46Z</dcterms:modified>
</cp:coreProperties>
</file>