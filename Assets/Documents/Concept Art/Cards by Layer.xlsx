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5C1C881A-6E42-4009-9871-D25753DAAC5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U5" i="15"/>
  <c r="O5" i="15"/>
  <c r="V3" i="15"/>
  <c r="P3" i="15"/>
  <c r="I5" i="15"/>
  <c r="J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</futureMetadata>
  <valueMetadata count="6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</valueMetadata>
</metadata>
</file>

<file path=xl/sharedStrings.xml><?xml version="1.0" encoding="utf-8"?>
<sst xmlns="http://schemas.openxmlformats.org/spreadsheetml/2006/main" count="110" uniqueCount="58">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</sst>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Border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9.emf"/><Relationship Id="rId13" Type="http://schemas.openxmlformats.org/officeDocument/2006/relationships/image" Target="../media/image64.emf"/><Relationship Id="rId3" Type="http://schemas.openxmlformats.org/officeDocument/2006/relationships/image" Target="../media/image54.emf"/><Relationship Id="rId7" Type="http://schemas.openxmlformats.org/officeDocument/2006/relationships/image" Target="../media/image58.emf"/><Relationship Id="rId12" Type="http://schemas.openxmlformats.org/officeDocument/2006/relationships/image" Target="../media/image63.emf"/><Relationship Id="rId17" Type="http://schemas.openxmlformats.org/officeDocument/2006/relationships/image" Target="../media/image68.emf"/><Relationship Id="rId2" Type="http://schemas.openxmlformats.org/officeDocument/2006/relationships/image" Target="../media/image53.emf"/><Relationship Id="rId16" Type="http://schemas.openxmlformats.org/officeDocument/2006/relationships/image" Target="../media/image67.png"/><Relationship Id="rId1" Type="http://schemas.openxmlformats.org/officeDocument/2006/relationships/image" Target="../media/image52.png"/><Relationship Id="rId6" Type="http://schemas.openxmlformats.org/officeDocument/2006/relationships/image" Target="../media/image57.emf"/><Relationship Id="rId11" Type="http://schemas.openxmlformats.org/officeDocument/2006/relationships/image" Target="../media/image62.emf"/><Relationship Id="rId5" Type="http://schemas.openxmlformats.org/officeDocument/2006/relationships/image" Target="../media/image56.emf"/><Relationship Id="rId15" Type="http://schemas.openxmlformats.org/officeDocument/2006/relationships/image" Target="../media/image66.emf"/><Relationship Id="rId10" Type="http://schemas.openxmlformats.org/officeDocument/2006/relationships/image" Target="../media/image61.emf"/><Relationship Id="rId4" Type="http://schemas.openxmlformats.org/officeDocument/2006/relationships/image" Target="../media/image55.emf"/><Relationship Id="rId9" Type="http://schemas.openxmlformats.org/officeDocument/2006/relationships/image" Target="../media/image60.emf"/><Relationship Id="rId14" Type="http://schemas.openxmlformats.org/officeDocument/2006/relationships/image" Target="../media/image65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6.emf"/><Relationship Id="rId13" Type="http://schemas.openxmlformats.org/officeDocument/2006/relationships/image" Target="../media/image81.emf"/><Relationship Id="rId3" Type="http://schemas.openxmlformats.org/officeDocument/2006/relationships/image" Target="../media/image71.emf"/><Relationship Id="rId7" Type="http://schemas.openxmlformats.org/officeDocument/2006/relationships/image" Target="../media/image75.emf"/><Relationship Id="rId12" Type="http://schemas.openxmlformats.org/officeDocument/2006/relationships/image" Target="../media/image80.emf"/><Relationship Id="rId2" Type="http://schemas.openxmlformats.org/officeDocument/2006/relationships/image" Target="../media/image70.emf"/><Relationship Id="rId1" Type="http://schemas.openxmlformats.org/officeDocument/2006/relationships/image" Target="../media/image69.emf"/><Relationship Id="rId6" Type="http://schemas.openxmlformats.org/officeDocument/2006/relationships/image" Target="../media/image74.emf"/><Relationship Id="rId11" Type="http://schemas.openxmlformats.org/officeDocument/2006/relationships/image" Target="../media/image79.emf"/><Relationship Id="rId5" Type="http://schemas.openxmlformats.org/officeDocument/2006/relationships/image" Target="../media/image73.emf"/><Relationship Id="rId15" Type="http://schemas.openxmlformats.org/officeDocument/2006/relationships/image" Target="../media/image83.emf"/><Relationship Id="rId10" Type="http://schemas.openxmlformats.org/officeDocument/2006/relationships/image" Target="../media/image78.emf"/><Relationship Id="rId4" Type="http://schemas.openxmlformats.org/officeDocument/2006/relationships/image" Target="../media/image72.emf"/><Relationship Id="rId9" Type="http://schemas.openxmlformats.org/officeDocument/2006/relationships/image" Target="../media/image77.emf"/><Relationship Id="rId14" Type="http://schemas.openxmlformats.org/officeDocument/2006/relationships/image" Target="../media/image8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12</xdr:col>
      <xdr:colOff>0</xdr:colOff>
      <xdr:row>6</xdr:row>
      <xdr:rowOff>9525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40A2F210-53DF-4CA9-8A4F-A28D51BA1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4900" y="200025"/>
          <a:ext cx="3695700" cy="49911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0</xdr:colOff>
      <xdr:row>6</xdr:row>
      <xdr:rowOff>9525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BE3B254A-05A6-48FC-B070-5BFC03413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200025"/>
          <a:ext cx="3695700" cy="49911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18" name="Picture 17">
              <a:extLst>
                <a:ext uri="{FF2B5EF4-FFF2-40B4-BE49-F238E27FC236}">
                  <a16:creationId xmlns:a16="http://schemas.microsoft.com/office/drawing/2014/main" id="{55B11F5E-763A-404B-B231-BB497A0C62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77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19" name="Picture 18">
              <a:extLst>
                <a:ext uri="{FF2B5EF4-FFF2-40B4-BE49-F238E27FC236}">
                  <a16:creationId xmlns:a16="http://schemas.microsoft.com/office/drawing/2014/main" id="{D3316334-D9FF-41B1-89B8-D994EF00B35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7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7</xdr:row>
          <xdr:rowOff>0</xdr:rowOff>
        </xdr:from>
        <xdr:ext cx="3705225" cy="5000625"/>
        <xdr:pic>
          <xdr:nvPicPr>
            <xdr:cNvPr id="20" name="Picture 19">
              <a:extLst>
                <a:ext uri="{FF2B5EF4-FFF2-40B4-BE49-F238E27FC236}">
                  <a16:creationId xmlns:a16="http://schemas.microsoft.com/office/drawing/2014/main" id="{BFE5DA9D-2717-4BAA-AACB-A77E3AF34F3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79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35255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7</xdr:row>
          <xdr:rowOff>0</xdr:rowOff>
        </xdr:from>
        <xdr:ext cx="3705225" cy="5000625"/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4EF40632-C9BA-40AC-93A9-93ED92891B6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2202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7</xdr:row>
          <xdr:rowOff>0</xdr:rowOff>
        </xdr:from>
        <xdr:ext cx="3705225" cy="5000625"/>
        <xdr:pic>
          <xdr:nvPicPr>
            <xdr:cNvPr id="22" name="Picture 21">
              <a:extLst>
                <a:ext uri="{FF2B5EF4-FFF2-40B4-BE49-F238E27FC236}">
                  <a16:creationId xmlns:a16="http://schemas.microsoft.com/office/drawing/2014/main" id="{35BBB72F-5133-4BDD-B5F7-4F69820251B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1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9149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7</xdr:row>
          <xdr:rowOff>0</xdr:rowOff>
        </xdr:from>
        <xdr:ext cx="3705225" cy="50006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76D65C39-E8FB-4AB3-815E-7F6DDA65695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6096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13</xdr:row>
          <xdr:rowOff>0</xdr:rowOff>
        </xdr:from>
        <xdr:ext cx="3705225" cy="5000625"/>
        <xdr:pic>
          <xdr:nvPicPr>
            <xdr:cNvPr id="24" name="Picture 23">
              <a:extLst>
                <a:ext uri="{FF2B5EF4-FFF2-40B4-BE49-F238E27FC236}">
                  <a16:creationId xmlns:a16="http://schemas.microsoft.com/office/drawing/2014/main" id="{6FB6548D-FFE1-40A8-8546-811979858E5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6096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12</xdr:col>
          <xdr:colOff>9525</xdr:colOff>
          <xdr:row>18</xdr:row>
          <xdr:rowOff>19050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EBBF2DB2-FBBD-E209-1034-87EB6702CE7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18</xdr:col>
          <xdr:colOff>9525</xdr:colOff>
          <xdr:row>18</xdr:row>
          <xdr:rowOff>19050</xdr:rowOff>
        </xdr:to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F71B6122-5D31-4279-8B77-2525453DE72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24</xdr:col>
          <xdr:colOff>9525</xdr:colOff>
          <xdr:row>18</xdr:row>
          <xdr:rowOff>19050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4F4A0A05-EAEB-43E7-926C-D1ED54F0F97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6</xdr:col>
          <xdr:colOff>9525</xdr:colOff>
          <xdr:row>24</xdr:row>
          <xdr:rowOff>19050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E4F5A0-DF6D-48FD-BB66-DAC83E81E0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12</xdr:col>
          <xdr:colOff>9525</xdr:colOff>
          <xdr:row>24</xdr:row>
          <xdr:rowOff>19050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26158A2E-0158-4E51-8F64-6A048A0996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18</xdr:col>
          <xdr:colOff>9525</xdr:colOff>
          <xdr:row>24</xdr:row>
          <xdr:rowOff>19050</xdr:rowOff>
        </xdr:to>
        <xdr:pic>
          <xdr:nvPicPr>
            <xdr:cNvPr id="8" name="Picture 7">
              <a:extLst>
                <a:ext uri="{FF2B5EF4-FFF2-40B4-BE49-F238E27FC236}">
                  <a16:creationId xmlns:a16="http://schemas.microsoft.com/office/drawing/2014/main" id="{06B5C7DE-6CFA-4958-94FC-DC4C415E1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8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24</xdr:col>
          <xdr:colOff>9525</xdr:colOff>
          <xdr:row>24</xdr:row>
          <xdr:rowOff>19050</xdr:rowOff>
        </xdr:to>
        <xdr:pic>
          <xdr:nvPicPr>
            <xdr:cNvPr id="9" name="Picture 8">
              <a:extLst>
                <a:ext uri="{FF2B5EF4-FFF2-40B4-BE49-F238E27FC236}">
                  <a16:creationId xmlns:a16="http://schemas.microsoft.com/office/drawing/2014/main" id="{79D01B02-5DCA-4108-8783-A59C268AEE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1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2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3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5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6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7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8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599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0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1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2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3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4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5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6</xdr:col>
          <xdr:colOff>9525</xdr:colOff>
          <xdr:row>30</xdr:row>
          <xdr:rowOff>19050</xdr:rowOff>
        </xdr:to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424869C4-9B51-4F72-BD92-76BDFE2D4B7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216503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12</xdr:col>
          <xdr:colOff>9525</xdr:colOff>
          <xdr:row>30</xdr:row>
          <xdr:rowOff>19050</xdr:rowOff>
        </xdr:to>
        <xdr:pic>
          <xdr:nvPicPr>
            <xdr:cNvPr id="27" name="Picture 26">
              <a:extLst>
                <a:ext uri="{FF2B5EF4-FFF2-40B4-BE49-F238E27FC236}">
                  <a16:creationId xmlns:a16="http://schemas.microsoft.com/office/drawing/2014/main" id="{957F9E96-7DD7-48A2-94DF-BEBAB69F781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216503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8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09"/>
                </a:ext>
              </a:extLst>
            </xdr:cNvPicPr>
          </xdr:nvPicPr>
          <xdr:blipFill>
            <a:blip xmlns:r="http://schemas.openxmlformats.org/officeDocument/2006/relationships" r:embed="rId17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9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zoomScaleNormal="100" workbookViewId="0">
      <selection activeCell="M28" sqref="M28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29" t="e" vm="1">
        <f>'Cards Src'!E2</f>
        <v>#VALUE!</v>
      </c>
      <c r="D4" s="129"/>
      <c r="E4" s="129"/>
      <c r="F4" s="42"/>
      <c r="H4" s="53"/>
      <c r="I4" s="134" t="e" vm="2">
        <f>'Cards Src'!E3</f>
        <v>#VALUE!</v>
      </c>
      <c r="J4" s="134"/>
      <c r="K4" s="134"/>
      <c r="L4" s="54"/>
      <c r="N4" s="116"/>
      <c r="O4" s="135" t="e" vm="3">
        <f>'Cards Src'!E4</f>
        <v>#VALUE!</v>
      </c>
      <c r="P4" s="135"/>
      <c r="Q4" s="135"/>
      <c r="R4" s="64"/>
      <c r="T4" s="7"/>
      <c r="U4" s="136" t="e" vm="4">
        <f xml:space="preserve"> 'Cards Src'!E5</f>
        <v>#VALUE!</v>
      </c>
      <c r="V4" s="136"/>
      <c r="W4" s="136"/>
      <c r="X4" s="29"/>
    </row>
    <row r="5" spans="2:24" ht="93" customHeight="1" x14ac:dyDescent="0.25">
      <c r="B5" s="41"/>
      <c r="C5" s="130" t="str">
        <f>'Cards Src'!$C2</f>
        <v>Deals damage on contact. Explodes against surfaces</v>
      </c>
      <c r="D5" s="130"/>
      <c r="E5" s="130"/>
      <c r="F5" s="43"/>
      <c r="H5" s="53"/>
      <c r="I5" s="131" t="str">
        <f>'Cards Src'!$C3</f>
        <v>Explodes on contact and freezes enemies. Frozen enemies take 1.5x damage</v>
      </c>
      <c r="J5" s="131"/>
      <c r="K5" s="131"/>
      <c r="L5" s="55"/>
      <c r="N5" s="3"/>
      <c r="O5" s="132" t="str">
        <f>'Cards Src'!C4</f>
        <v>Summons a wave that pushes back all enemies it hits, accumulating damage</v>
      </c>
      <c r="P5" s="132"/>
      <c r="Q5" s="132"/>
      <c r="R5" s="65"/>
      <c r="T5" s="7"/>
      <c r="U5" s="133" t="str">
        <f>'Cards Src'!C5</f>
        <v>Creates a trap area that slows + damages enemies as they move through it</v>
      </c>
      <c r="V5" s="133"/>
      <c r="W5" s="133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37" t="e" vm="5">
        <f>'Cards Src'!E6</f>
        <v>#VALUE!</v>
      </c>
      <c r="D10" s="137"/>
      <c r="E10" s="137"/>
      <c r="F10" s="126"/>
      <c r="H10" s="15"/>
      <c r="I10" s="141" t="e" vm="6">
        <f>'Cards Src'!E7</f>
        <v>#VALUE!</v>
      </c>
      <c r="J10" s="141"/>
      <c r="K10" s="141"/>
      <c r="L10" s="72"/>
      <c r="N10" s="19"/>
      <c r="O10" s="142" t="e" vm="7">
        <f>'Cards Src'!E8</f>
        <v>#VALUE!</v>
      </c>
      <c r="P10" s="142"/>
      <c r="Q10" s="142"/>
      <c r="R10" s="81"/>
      <c r="T10" s="11"/>
      <c r="U10" s="137" t="e" vm="8">
        <f>'Cards Src'!E9</f>
        <v>#VALUE!</v>
      </c>
      <c r="V10" s="137"/>
      <c r="W10" s="137"/>
      <c r="X10" s="122"/>
    </row>
    <row r="11" spans="2:24" ht="93" customHeight="1" x14ac:dyDescent="0.25">
      <c r="B11" s="11"/>
      <c r="C11" s="138" t="str">
        <f>'Cards Src'!$C6</f>
        <v>Casts a bolt of lightning</v>
      </c>
      <c r="D11" s="138"/>
      <c r="E11" s="138"/>
      <c r="F11" s="123"/>
      <c r="H11" s="15"/>
      <c r="I11" s="139" t="str">
        <f>'Cards Src'!$C7</f>
        <v>Vacuums in nearby enemies</v>
      </c>
      <c r="J11" s="139"/>
      <c r="K11" s="139"/>
      <c r="L11" s="73"/>
      <c r="N11" s="19"/>
      <c r="O11" s="140" t="str">
        <f>'Cards Src'!C8</f>
        <v>Flies to the nearest enemy in vision</v>
      </c>
      <c r="P11" s="140"/>
      <c r="Q11" s="140"/>
      <c r="R11" s="82"/>
      <c r="T11" s="11"/>
      <c r="U11" s="138" t="str">
        <f>'Cards Src'!C9</f>
        <v>Casts a tracking bolt of lightning that can chain to close enemies</v>
      </c>
      <c r="V11" s="138"/>
      <c r="W11" s="138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42" t="e" vm="9">
        <f>'Cards Src'!E10</f>
        <v>#VALUE!</v>
      </c>
      <c r="D16" s="142"/>
      <c r="E16" s="142"/>
      <c r="F16" s="81"/>
      <c r="H16" s="107"/>
      <c r="I16" s="145" t="e" vm="10">
        <f>'Cards Src'!E11</f>
        <v>#VALUE!</v>
      </c>
      <c r="J16" s="145"/>
      <c r="K16" s="145"/>
      <c r="L16" s="108"/>
      <c r="N16" s="107"/>
      <c r="O16" s="146" t="e" vm="11">
        <f>'Cards Src'!E12</f>
        <v>#VALUE!</v>
      </c>
      <c r="P16" s="146"/>
      <c r="Q16" s="146"/>
      <c r="R16" s="108"/>
      <c r="T16" s="107"/>
      <c r="U16" s="146" t="e" vm="12">
        <f xml:space="preserve"> 'Cards Src'!E13</f>
        <v>#VALUE!</v>
      </c>
      <c r="V16" s="146"/>
      <c r="W16" s="146"/>
      <c r="X16" s="108"/>
    </row>
    <row r="17" spans="2:24" ht="93" customHeight="1" x14ac:dyDescent="0.25">
      <c r="B17" s="19"/>
      <c r="C17" s="143" t="str">
        <f>'Cards Src'!$C10</f>
        <v>Creates an area on the ground that damages to enemies within it. Mark any enemy to deal damage to the enemy proportional to the time spent once finishes</v>
      </c>
      <c r="D17" s="143"/>
      <c r="E17" s="143"/>
      <c r="F17" s="82"/>
      <c r="H17" s="107"/>
      <c r="I17" s="144" t="str">
        <f>'Cards Src'!$C11</f>
        <v>Increases player movement speed for a set duration</v>
      </c>
      <c r="J17" s="144"/>
      <c r="K17" s="144"/>
      <c r="L17" s="110"/>
      <c r="N17" s="107"/>
      <c r="O17" s="144" t="str">
        <f>'Cards Src'!C12</f>
        <v>Enemies are temporarily slowed on hit for a set duration.</v>
      </c>
      <c r="P17" s="144"/>
      <c r="Q17" s="144"/>
      <c r="R17" s="110"/>
      <c r="T17" s="107"/>
      <c r="U17" s="144" t="str">
        <f>'Cards Src'!C13</f>
        <v>Randomly swap two cards in the current hand with cards in the deck</v>
      </c>
      <c r="V17" s="144"/>
      <c r="W17" s="144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46" t="e" vm="13">
        <f>'Cards Src'!E14</f>
        <v>#VALUE!</v>
      </c>
      <c r="D22" s="146"/>
      <c r="E22" s="146"/>
      <c r="F22" s="108"/>
      <c r="H22" s="107"/>
      <c r="I22" s="146" t="e" vm="14">
        <f>'Cards Src'!E15</f>
        <v>#VALUE!</v>
      </c>
      <c r="J22" s="146"/>
      <c r="K22" s="146"/>
      <c r="L22" s="108"/>
      <c r="N22" s="107"/>
      <c r="O22" s="146" t="e" vm="15">
        <f>'Cards Src'!E16</f>
        <v>#VALUE!</v>
      </c>
      <c r="P22" s="146"/>
      <c r="Q22" s="146"/>
      <c r="R22" s="108"/>
      <c r="T22" s="107"/>
      <c r="U22" s="146" t="e" vm="16">
        <f xml:space="preserve"> 'Cards Src'!E17</f>
        <v>#VALUE!</v>
      </c>
      <c r="V22" s="146"/>
      <c r="W22" s="146"/>
      <c r="X22" s="108"/>
    </row>
    <row r="23" spans="2:24" ht="93" customHeight="1" x14ac:dyDescent="0.25">
      <c r="B23" s="107"/>
      <c r="C23" s="144" t="str">
        <f>'Cards Src'!$C14</f>
        <v>Randomly shuffle two cards from the discard pile back into the deck</v>
      </c>
      <c r="D23" s="144"/>
      <c r="E23" s="144"/>
      <c r="F23" s="110"/>
      <c r="H23" s="107"/>
      <c r="I23" s="144" t="str">
        <f>'Cards Src'!$C15</f>
        <v>Negate x number of hits</v>
      </c>
      <c r="J23" s="144"/>
      <c r="K23" s="144"/>
      <c r="L23" s="110"/>
      <c r="N23" s="107"/>
      <c r="O23" s="147" t="str">
        <f>'Cards Src'!C16</f>
        <v>For a temporary amount of time, causes the player's dashes to push enemies away slightly and inflict damage</v>
      </c>
      <c r="P23" s="147"/>
      <c r="Q23" s="147"/>
      <c r="R23" s="110"/>
      <c r="T23" s="107"/>
      <c r="U23" s="144" t="str">
        <f>'Cards Src'!C17</f>
        <v>Increase damage of your weapon by x for a certain amount of time</v>
      </c>
      <c r="V23" s="144"/>
      <c r="W23" s="144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46" t="e" vm="17">
        <f>'Cards Src'!E18</f>
        <v>#VALUE!</v>
      </c>
      <c r="D28" s="146"/>
      <c r="E28" s="146"/>
      <c r="F28" s="108"/>
      <c r="H28" s="107"/>
      <c r="I28" s="146" t="e" vm="18">
        <f>'Cards Src'!E19</f>
        <v>#VALUE!</v>
      </c>
      <c r="J28" s="146"/>
      <c r="K28" s="146"/>
      <c r="L28" s="108"/>
      <c r="N28" s="94"/>
      <c r="O28" s="149">
        <f>'Cards Src'!E20</f>
        <v>0</v>
      </c>
      <c r="P28" s="149"/>
      <c r="Q28" s="149"/>
      <c r="R28" s="95"/>
      <c r="T28" s="94"/>
      <c r="U28" s="149">
        <f xml:space="preserve"> 'Cards Src'!E21</f>
        <v>0</v>
      </c>
      <c r="V28" s="149"/>
      <c r="W28" s="149"/>
      <c r="X28" s="95"/>
    </row>
    <row r="29" spans="2:24" ht="93" customHeight="1" x14ac:dyDescent="0.25">
      <c r="B29" s="107"/>
      <c r="C29" s="144" t="str">
        <f>'Cards Src'!$C18</f>
        <v>Recall last used card into deck</v>
      </c>
      <c r="D29" s="144"/>
      <c r="E29" s="144"/>
      <c r="F29" s="110"/>
      <c r="H29" s="107"/>
      <c r="I29" s="144" t="str">
        <f>'Cards Src'!$C19</f>
        <v>Draw 2 cards</v>
      </c>
      <c r="J29" s="144"/>
      <c r="K29" s="144"/>
      <c r="L29" s="110"/>
      <c r="N29" s="94"/>
      <c r="O29" s="148">
        <f>'Cards Src'!C20</f>
        <v>0</v>
      </c>
      <c r="P29" s="148"/>
      <c r="Q29" s="148"/>
      <c r="R29" s="96"/>
      <c r="T29" s="94"/>
      <c r="U29" s="148">
        <f>'Cards Src'!C21</f>
        <v>0</v>
      </c>
      <c r="V29" s="148"/>
      <c r="W29" s="148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H2" sqref="H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53" customWidth="1"/>
    <col min="4" max="4" width="10.7109375" style="150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56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57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57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57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57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57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57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57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57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57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57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57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57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57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57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57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57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57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57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57"/>
    </row>
    <row r="21" spans="1:5" s="34" customFormat="1" ht="186" customHeight="1" x14ac:dyDescent="0.25">
      <c r="C21" s="157"/>
    </row>
    <row r="22" spans="1:5" s="34" customFormat="1" ht="186" customHeight="1" x14ac:dyDescent="0.25">
      <c r="C22" s="157"/>
    </row>
    <row r="23" spans="1:5" s="34" customFormat="1" ht="186" customHeight="1" x14ac:dyDescent="0.25">
      <c r="C23" s="157"/>
    </row>
    <row r="24" spans="1:5" s="34" customFormat="1" ht="186" customHeight="1" x14ac:dyDescent="0.25">
      <c r="C24" s="15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tabSelected="1" zoomScale="130" zoomScaleNormal="130" workbookViewId="0">
      <selection activeCell="M5" sqref="M5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55" customFormat="1" ht="30" x14ac:dyDescent="0.25">
      <c r="B6" s="158" t="s">
        <v>0</v>
      </c>
      <c r="C6" s="159" t="s">
        <v>19</v>
      </c>
      <c r="D6" s="159" t="s">
        <v>14</v>
      </c>
      <c r="E6" s="159" t="s">
        <v>15</v>
      </c>
      <c r="F6" s="159" t="s">
        <v>17</v>
      </c>
      <c r="G6" s="159" t="s">
        <v>26</v>
      </c>
      <c r="H6" s="159" t="s">
        <v>16</v>
      </c>
      <c r="I6" s="159" t="s">
        <v>27</v>
      </c>
      <c r="J6" s="159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55" customFormat="1" ht="30" x14ac:dyDescent="0.25">
      <c r="B9" s="159" t="s">
        <v>48</v>
      </c>
      <c r="C9" s="159" t="s">
        <v>33</v>
      </c>
      <c r="D9" s="159" t="s">
        <v>34</v>
      </c>
      <c r="E9" s="159" t="s">
        <v>35</v>
      </c>
      <c r="F9" s="159" t="s">
        <v>36</v>
      </c>
      <c r="G9" s="159" t="s">
        <v>37</v>
      </c>
      <c r="H9" s="159" t="s">
        <v>38</v>
      </c>
      <c r="I9" s="159" t="s">
        <v>49</v>
      </c>
      <c r="J9" s="159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6"/>
  <sheetViews>
    <sheetView showGridLines="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53" customWidth="1"/>
  </cols>
  <sheetData>
    <row r="1" spans="1:4" ht="50.1" customHeight="1" x14ac:dyDescent="0.25">
      <c r="A1" s="21" t="s">
        <v>1</v>
      </c>
      <c r="C1" s="152"/>
      <c r="D1" s="21"/>
    </row>
    <row r="2" spans="1:4" ht="393" customHeight="1" x14ac:dyDescent="0.25">
      <c r="A2" t="e" vm="64">
        <v>#VALUE!</v>
      </c>
      <c r="C2" s="153" t="e" vm="65">
        <v>#VALUE!</v>
      </c>
    </row>
    <row r="3" spans="1:4" ht="50.1" customHeight="1" x14ac:dyDescent="0.25">
      <c r="A3" s="21" t="s">
        <v>55</v>
      </c>
      <c r="C3" s="152"/>
      <c r="D3" s="21"/>
    </row>
    <row r="4" spans="1:4" ht="393" customHeight="1" x14ac:dyDescent="0.25">
      <c r="A4" t="e" vm="66">
        <v>#VALUE!</v>
      </c>
      <c r="C4" s="153" t="e" vm="67">
        <v>#VALUE!</v>
      </c>
    </row>
    <row r="5" spans="1:4" ht="50.1" customHeight="1" x14ac:dyDescent="0.25">
      <c r="A5" s="21" t="s">
        <v>54</v>
      </c>
      <c r="C5" s="152"/>
      <c r="D5" s="21"/>
    </row>
    <row r="6" spans="1:4" ht="393" customHeight="1" x14ac:dyDescent="0.25">
      <c r="A6" s="151" t="e" vm="68">
        <v>#VALUE!</v>
      </c>
      <c r="C6" s="154" t="e" vm="69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2026-03-03T02:33:24Z</dcterms:modified>
</cp:coreProperties>
</file>